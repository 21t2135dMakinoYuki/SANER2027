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noyuuki\Desktop\SANER2026\Data\Glados\"/>
    </mc:Choice>
  </mc:AlternateContent>
  <xr:revisionPtr revIDLastSave="0" documentId="13_ncr:1_{47C61374-3899-49B9-8016-E407B0239157}" xr6:coauthVersionLast="47" xr6:coauthVersionMax="47" xr10:uidLastSave="{00000000-0000-0000-0000-000000000000}"/>
  <bookViews>
    <workbookView xWindow="-110" yWindow="-110" windowWidth="19420" windowHeight="11020" xr2:uid="{76F834DE-5EFC-4D6B-9741-493A547AC4EA}"/>
  </bookViews>
  <sheets>
    <sheet name="result" sheetId="1" r:id="rId1"/>
  </sheets>
  <definedNames>
    <definedName name="_xlnm._FilterDatabase" localSheetId="0" hidden="1">result!$A$1:$W$76</definedName>
    <definedName name="UI変更_分類">#REF!</definedName>
    <definedName name="原因_コードの差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D47" i="1"/>
  <c r="D31" i="1"/>
  <c r="D32" i="1"/>
  <c r="D33" i="1"/>
  <c r="D25" i="1"/>
  <c r="D26" i="1"/>
  <c r="D27" i="1"/>
  <c r="D40" i="1"/>
  <c r="D20" i="1"/>
  <c r="D21" i="1"/>
  <c r="D22" i="1"/>
  <c r="D23" i="1"/>
  <c r="D29" i="1"/>
  <c r="D42" i="1"/>
  <c r="D57" i="1"/>
  <c r="D66" i="1"/>
  <c r="D67" i="1"/>
  <c r="D28" i="1"/>
  <c r="D34" i="1"/>
  <c r="D35" i="1"/>
  <c r="D41" i="1"/>
  <c r="D39" i="1"/>
  <c r="D38" i="1"/>
  <c r="D48" i="1"/>
  <c r="D49" i="1"/>
  <c r="D50" i="1"/>
  <c r="D53" i="1"/>
  <c r="D54" i="1"/>
  <c r="D45" i="1"/>
  <c r="D46" i="1"/>
  <c r="D55" i="1"/>
  <c r="D59" i="1"/>
  <c r="D62" i="1"/>
  <c r="D63" i="1"/>
  <c r="D65" i="1"/>
  <c r="D61" i="1"/>
  <c r="D64" i="1"/>
  <c r="D60" i="1"/>
  <c r="D36" i="1"/>
  <c r="D51" i="1"/>
  <c r="D52" i="1"/>
  <c r="D43" i="1"/>
  <c r="D44" i="1"/>
  <c r="D56" i="1"/>
  <c r="D58" i="1"/>
  <c r="D3" i="1"/>
  <c r="D19" i="1"/>
  <c r="D11" i="1"/>
  <c r="D12" i="1"/>
  <c r="D13" i="1"/>
  <c r="D14" i="1"/>
  <c r="D15" i="1"/>
  <c r="D17" i="1"/>
  <c r="D18" i="1"/>
  <c r="D16" i="1"/>
  <c r="D24" i="1"/>
  <c r="D30" i="1"/>
  <c r="D5" i="1"/>
  <c r="D6" i="1"/>
  <c r="D7" i="1"/>
  <c r="D8" i="1"/>
  <c r="D9" i="1"/>
  <c r="D10" i="1"/>
  <c r="D4" i="1"/>
  <c r="D37" i="1"/>
</calcChain>
</file>

<file path=xl/sharedStrings.xml><?xml version="1.0" encoding="utf-8"?>
<sst xmlns="http://schemas.openxmlformats.org/spreadsheetml/2006/main" count="478" uniqueCount="88">
  <si>
    <t>001-events</t>
    <phoneticPr fontId="1"/>
  </si>
  <si>
    <t>301-302</t>
    <phoneticPr fontId="1"/>
  </si>
  <si>
    <t>308-309</t>
    <phoneticPr fontId="1"/>
  </si>
  <si>
    <t>322-323</t>
    <phoneticPr fontId="1"/>
  </si>
  <si>
    <t>325-329</t>
    <phoneticPr fontId="1"/>
  </si>
  <si>
    <t>002-topics</t>
  </si>
  <si>
    <t>304-306</t>
    <phoneticPr fontId="1"/>
  </si>
  <si>
    <t>308-310</t>
    <phoneticPr fontId="1"/>
  </si>
  <si>
    <t>346-363</t>
    <phoneticPr fontId="1"/>
  </si>
  <si>
    <t>003-structures</t>
  </si>
  <si>
    <t>004-reminders</t>
  </si>
  <si>
    <t>302-310</t>
    <phoneticPr fontId="1"/>
  </si>
  <si>
    <t>322-324</t>
    <phoneticPr fontId="1"/>
  </si>
  <si>
    <t>293-294</t>
    <phoneticPr fontId="1"/>
  </si>
  <si>
    <t>005-graphs</t>
  </si>
  <si>
    <t>303-304</t>
    <phoneticPr fontId="1"/>
  </si>
  <si>
    <t>323-324</t>
    <phoneticPr fontId="1"/>
  </si>
  <si>
    <t>302-303</t>
    <phoneticPr fontId="1"/>
  </si>
  <si>
    <t>003-structures</t>
    <phoneticPr fontId="1"/>
  </si>
  <si>
    <t>004-reminders</t>
    <phoneticPr fontId="1"/>
  </si>
  <si>
    <t>005-graphs</t>
    <phoneticPr fontId="1"/>
  </si>
  <si>
    <t>Explore graphs</t>
    <phoneticPr fontId="1"/>
  </si>
  <si>
    <t>All Events</t>
    <phoneticPr fontId="1"/>
  </si>
  <si>
    <t>Mode</t>
    <phoneticPr fontId="1"/>
  </si>
  <si>
    <t>Settings</t>
    <phoneticPr fontId="1"/>
  </si>
  <si>
    <t>Parent</t>
    <phoneticPr fontId="1"/>
  </si>
  <si>
    <t>Enable Child Keys?</t>
    <phoneticPr fontId="1"/>
  </si>
  <si>
    <t>Structures</t>
    <phoneticPr fontId="1"/>
  </si>
  <si>
    <t>All Events</t>
    <phoneticPr fontId="1"/>
  </si>
  <si>
    <t>Log Level</t>
    <phoneticPr fontId="1"/>
  </si>
  <si>
    <t>Time In India</t>
    <phoneticPr fontId="1"/>
  </si>
  <si>
    <t>test_name</t>
    <phoneticPr fontId="1"/>
  </si>
  <si>
    <t>effort</t>
    <phoneticPr fontId="1"/>
  </si>
  <si>
    <t>sequence_number</t>
    <phoneticPr fontId="1"/>
  </si>
  <si>
    <t>absolute_change_effort</t>
    <phoneticPr fontId="1"/>
  </si>
  <si>
    <t>before_change</t>
    <phoneticPr fontId="1"/>
  </si>
  <si>
    <t>after_change</t>
    <phoneticPr fontId="1"/>
  </si>
  <si>
    <t xml:space="preserve">lines_added </t>
    <phoneticPr fontId="1"/>
  </si>
  <si>
    <t>lines_deleted</t>
    <phoneticPr fontId="1"/>
  </si>
  <si>
    <t>effort_change_direction</t>
    <phoneticPr fontId="1"/>
  </si>
  <si>
    <t>target_ui_element</t>
    <phoneticPr fontId="1"/>
  </si>
  <si>
    <t>specific_change(target)_1</t>
    <phoneticPr fontId="1"/>
  </si>
  <si>
    <t>specific_change(target)_2</t>
    <phoneticPr fontId="1"/>
  </si>
  <si>
    <t>code-changed_ui_element1</t>
    <phoneticPr fontId="1"/>
  </si>
  <si>
    <t>specific_change(code-changed1)_1</t>
    <phoneticPr fontId="1"/>
  </si>
  <si>
    <t>specific_change(code-changed1)_2</t>
    <phoneticPr fontId="1"/>
  </si>
  <si>
    <t>code-changed_ui_element2</t>
    <phoneticPr fontId="1"/>
  </si>
  <si>
    <t>specific_change(code-changed2)_1</t>
    <phoneticPr fontId="1"/>
  </si>
  <si>
    <t>specific_change(code-changed2)_2</t>
    <phoneticPr fontId="1"/>
  </si>
  <si>
    <t>is_in_scope</t>
    <phoneticPr fontId="1"/>
  </si>
  <si>
    <t>Downward Shift</t>
  </si>
  <si>
    <t>Height Expansion</t>
    <phoneticPr fontId="1"/>
  </si>
  <si>
    <t>Save</t>
    <phoneticPr fontId="1"/>
  </si>
  <si>
    <t>GLADOS</t>
    <phoneticPr fontId="1"/>
  </si>
  <si>
    <t>Save(1)</t>
    <phoneticPr fontId="1"/>
  </si>
  <si>
    <t>Save(2)</t>
    <phoneticPr fontId="1"/>
  </si>
  <si>
    <t>Save(3)</t>
    <phoneticPr fontId="1"/>
  </si>
  <si>
    <t>Save(4)</t>
    <phoneticPr fontId="1"/>
  </si>
  <si>
    <t>Daily Routine</t>
    <phoneticPr fontId="1"/>
  </si>
  <si>
    <t>+</t>
    <phoneticPr fontId="1"/>
  </si>
  <si>
    <t>LEFT</t>
    <phoneticPr fontId="1"/>
  </si>
  <si>
    <t>cursor_travel_distance</t>
    <phoneticPr fontId="1"/>
  </si>
  <si>
    <t>click_count</t>
    <phoneticPr fontId="1"/>
  </si>
  <si>
    <t>Todo: Today</t>
    <phoneticPr fontId="1"/>
  </si>
  <si>
    <t>"-"</t>
    <phoneticPr fontId="1"/>
  </si>
  <si>
    <t>Edit</t>
    <phoneticPr fontId="1"/>
  </si>
  <si>
    <t>Key</t>
    <phoneticPr fontId="1"/>
  </si>
  <si>
    <t>Is Periodic?</t>
    <phoneticPr fontId="1"/>
  </si>
  <si>
    <t>Granularity: Day</t>
    <phoneticPr fontId="1"/>
  </si>
  <si>
    <t>Push Ups</t>
    <phoneticPr fontId="1"/>
  </si>
  <si>
    <t xml:space="preserve">Upward Shift </t>
  </si>
  <si>
    <t>keystroke_count</t>
    <phoneticPr fontId="1"/>
  </si>
  <si>
    <t>Done: Today</t>
    <phoneticPr fontId="1"/>
  </si>
  <si>
    <t>Search</t>
    <phoneticPr fontId="1"/>
  </si>
  <si>
    <t>Name</t>
    <phoneticPr fontId="1"/>
  </si>
  <si>
    <t>Details Section</t>
    <phoneticPr fontId="1"/>
  </si>
  <si>
    <t>decreased</t>
    <phoneticPr fontId="1"/>
  </si>
  <si>
    <t>increased</t>
    <phoneticPr fontId="1"/>
  </si>
  <si>
    <t>Text Expansion</t>
    <phoneticPr fontId="1"/>
  </si>
  <si>
    <t>Component Removal</t>
    <phoneticPr fontId="1"/>
  </si>
  <si>
    <t>Component Addition</t>
    <phoneticPr fontId="1"/>
  </si>
  <si>
    <t>Upward Shift</t>
    <phoneticPr fontId="1"/>
  </si>
  <si>
    <t>Downward Shift</t>
    <phoneticPr fontId="1"/>
  </si>
  <si>
    <t>Rightward Shift</t>
    <phoneticPr fontId="1"/>
  </si>
  <si>
    <t>Details</t>
    <phoneticPr fontId="1"/>
  </si>
  <si>
    <t>only_indirect</t>
    <phoneticPr fontId="1"/>
  </si>
  <si>
    <t>-</t>
    <phoneticPr fontId="1"/>
  </si>
  <si>
    <t>changed_lines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</si>
</sst>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6">
    <dxf>
      <numFmt numFmtId="0" formatCode="General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B4224-242C-40E9-96BB-36BC16D8443B}" name="分析結果" displayName="分析結果" ref="A1:U67" totalsRowShown="0" headerRowDxfId="5" headerRowBorderDxfId="4" tableBorderDxfId="3">
  <autoFilter ref="A1:U67" xr:uid="{B61B4224-242C-40E9-96BB-36BC16D8443B}"/>
  <sortState xmlns:xlrd2="http://schemas.microsoft.com/office/spreadsheetml/2017/richdata2" ref="A19:T64">
    <sortCondition ref="A1:A67"/>
  </sortState>
  <tableColumns count="21">
    <tableColumn id="1" xr3:uid="{5C7DFBEE-0D79-4A94-BFD4-E8F1FB47AC2F}" name="test_name" dataDxfId="2"/>
    <tableColumn id="2" xr3:uid="{30D127E9-6770-460C-AFEA-9A821352C371}" name="effort" dataDxfId="1"/>
    <tableColumn id="3" xr3:uid="{115F9ED8-8869-42CD-9282-82B281C22540}" name="sequence_number"/>
    <tableColumn id="4" xr3:uid="{BD43728E-7EA1-464D-8FEF-4DBB03D04C8A}" name="changed_lines">
      <calculatedColumnFormula>E2+F2</calculatedColumnFormula>
    </tableColumn>
    <tableColumn id="5" xr3:uid="{A4005904-B5AE-4A4D-A2FE-AE78D8BCE01E}" name="lines_added "/>
    <tableColumn id="6" xr3:uid="{6A6BD4BC-2865-48C0-8F1F-39002354AC13}" name="lines_deleted"/>
    <tableColumn id="7" xr3:uid="{EBD16916-7B58-46C6-8AC1-A6106F6343BB}" name="effort_change_direction"/>
    <tableColumn id="18" xr3:uid="{EC91C8E7-F805-4A4F-A700-0AFB50617DF4}" name="absolute_change_effort" dataDxfId="0">
      <calculatedColumnFormula>ABS(分析結果[[#This Row],[after_change]]-分析結果[[#This Row],[before_change]])</calculatedColumnFormula>
    </tableColumn>
    <tableColumn id="20" xr3:uid="{486D4F94-B072-4C90-8276-9D80FE2B2ABE}" name="before_change"/>
    <tableColumn id="19" xr3:uid="{9BC56FE6-0983-4A4F-A87E-81805A51DA6E}" name="after_change"/>
    <tableColumn id="8" xr3:uid="{8445506B-97A6-4F13-91D5-64772AF15E1B}" name="target_ui_element"/>
    <tableColumn id="21" xr3:uid="{E887245E-25FF-428E-983A-225D186533D2}" name="is_in_scope"/>
    <tableColumn id="10" xr3:uid="{4418BD0C-9D21-440D-B641-BBD0A1943F81}" name="specific_change(target)_1"/>
    <tableColumn id="22" xr3:uid="{DE8F86ED-7027-4A4B-A889-D701174E8B23}" name="specific_change(target)_2"/>
    <tableColumn id="24" xr3:uid="{080039C7-E3E1-4D52-851A-CA63E6077878}" name="code-changed_ui_element1"/>
    <tableColumn id="14" xr3:uid="{5CBD5904-21FF-484D-9771-EB770B6F05FF}" name="specific_change(code-changed1)_1"/>
    <tableColumn id="16" xr3:uid="{DEB22465-3A0F-4A03-80FF-24BCE6B20130}" name="specific_change(code-changed1)_2"/>
    <tableColumn id="29" xr3:uid="{12B93E7A-829D-424F-9C9C-8C12DFDFA0A8}" name="code-changed_ui_element2"/>
    <tableColumn id="27" xr3:uid="{0B603B50-9BFF-4088-9B1A-6A5CC07BF516}" name="specific_change(code-changed2)_1"/>
    <tableColumn id="25" xr3:uid="{DCE311CB-C107-499E-8CC0-A12C8BE27E45}" name="specific_change(code-changed2)_2"/>
    <tableColumn id="9" xr3:uid="{ACF736CB-0076-4A1B-9255-F24A1E8EB492}" name="only_indir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9754-040A-4551-8F70-BC62970F44A3}">
  <dimension ref="A1:U68"/>
  <sheetViews>
    <sheetView tabSelected="1" zoomScale="56" zoomScaleNormal="40" workbookViewId="0">
      <selection activeCell="B2" sqref="B2"/>
    </sheetView>
  </sheetViews>
  <sheetFormatPr defaultRowHeight="18" x14ac:dyDescent="0.55000000000000004"/>
  <cols>
    <col min="1" max="1" width="15.83203125" customWidth="1"/>
    <col min="2" max="2" width="20.5" customWidth="1"/>
    <col min="3" max="3" width="21.33203125" customWidth="1"/>
    <col min="4" max="4" width="12.6640625" customWidth="1"/>
    <col min="5" max="5" width="15.4140625" customWidth="1"/>
    <col min="6" max="6" width="19" customWidth="1"/>
    <col min="7" max="7" width="24.58203125" customWidth="1"/>
    <col min="8" max="8" width="23.4140625" customWidth="1"/>
    <col min="9" max="10" width="24.4140625" customWidth="1"/>
    <col min="11" max="11" width="23" customWidth="1"/>
    <col min="12" max="12" width="15.6640625" customWidth="1"/>
    <col min="13" max="13" width="27.08203125" customWidth="1"/>
    <col min="14" max="14" width="28.75" customWidth="1"/>
    <col min="15" max="15" width="29" customWidth="1"/>
    <col min="16" max="16" width="35.9140625" customWidth="1"/>
    <col min="17" max="17" width="35.5" customWidth="1"/>
    <col min="18" max="18" width="28.6640625" customWidth="1"/>
    <col min="19" max="19" width="35.25" customWidth="1"/>
    <col min="20" max="20" width="37" customWidth="1"/>
    <col min="21" max="22" width="24.6640625" customWidth="1"/>
    <col min="23" max="23" width="97.33203125" customWidth="1"/>
    <col min="24" max="24" width="34.83203125" customWidth="1"/>
    <col min="25" max="25" width="85.1640625" customWidth="1"/>
  </cols>
  <sheetData>
    <row r="1" spans="1:21" x14ac:dyDescent="0.55000000000000004">
      <c r="A1" s="4" t="s">
        <v>31</v>
      </c>
      <c r="B1" s="4" t="s">
        <v>32</v>
      </c>
      <c r="C1" s="4" t="s">
        <v>33</v>
      </c>
      <c r="D1" s="4" t="s">
        <v>87</v>
      </c>
      <c r="E1" s="4" t="s">
        <v>37</v>
      </c>
      <c r="F1" s="4" t="s">
        <v>38</v>
      </c>
      <c r="G1" s="4" t="s">
        <v>39</v>
      </c>
      <c r="H1" s="4" t="s">
        <v>34</v>
      </c>
      <c r="I1" s="4" t="s">
        <v>35</v>
      </c>
      <c r="J1" s="4" t="s">
        <v>36</v>
      </c>
      <c r="K1" s="4" t="s">
        <v>40</v>
      </c>
      <c r="L1" s="4" t="s">
        <v>49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  <c r="T1" s="4" t="s">
        <v>48</v>
      </c>
      <c r="U1" s="4" t="s">
        <v>85</v>
      </c>
    </row>
    <row r="2" spans="1:21" x14ac:dyDescent="0.55000000000000004">
      <c r="A2" t="s">
        <v>0</v>
      </c>
      <c r="B2" s="1" t="s">
        <v>62</v>
      </c>
      <c r="C2" t="s">
        <v>1</v>
      </c>
      <c r="D2">
        <f>E2+F2</f>
        <v>331</v>
      </c>
      <c r="E2">
        <v>271</v>
      </c>
      <c r="F2">
        <v>60</v>
      </c>
      <c r="G2" t="s">
        <v>77</v>
      </c>
      <c r="H2">
        <f>ABS(分析結果[[#This Row],[after_change]]-分析結果[[#This Row],[before_change]])</f>
        <v>1</v>
      </c>
      <c r="I2">
        <v>3</v>
      </c>
      <c r="J2">
        <v>4</v>
      </c>
      <c r="K2" t="s">
        <v>63</v>
      </c>
      <c r="L2">
        <v>0</v>
      </c>
      <c r="U2" t="s">
        <v>86</v>
      </c>
    </row>
    <row r="3" spans="1:21" x14ac:dyDescent="0.55000000000000004">
      <c r="A3" t="s">
        <v>0</v>
      </c>
      <c r="B3" t="s">
        <v>61</v>
      </c>
      <c r="C3" t="s">
        <v>1</v>
      </c>
      <c r="D3">
        <f t="shared" ref="D3:D38" si="0">E3+F3</f>
        <v>331</v>
      </c>
      <c r="E3">
        <v>271</v>
      </c>
      <c r="F3">
        <v>60</v>
      </c>
      <c r="G3" t="s">
        <v>77</v>
      </c>
      <c r="H3">
        <f>ABS(分析結果[[#This Row],[after_change]]-分析結果[[#This Row],[before_change]])</f>
        <v>12.478352342299786</v>
      </c>
      <c r="I3">
        <v>2403.4271747582502</v>
      </c>
      <c r="J3">
        <v>2415.90552710055</v>
      </c>
      <c r="K3" t="s">
        <v>63</v>
      </c>
      <c r="L3">
        <v>0</v>
      </c>
      <c r="U3" t="s">
        <v>86</v>
      </c>
    </row>
    <row r="4" spans="1:21" x14ac:dyDescent="0.55000000000000004">
      <c r="A4" t="s">
        <v>0</v>
      </c>
      <c r="B4" s="1" t="s">
        <v>62</v>
      </c>
      <c r="C4" t="s">
        <v>4</v>
      </c>
      <c r="D4">
        <f t="shared" si="0"/>
        <v>402</v>
      </c>
      <c r="E4">
        <v>268</v>
      </c>
      <c r="F4">
        <v>134</v>
      </c>
      <c r="G4" t="s">
        <v>76</v>
      </c>
      <c r="H4">
        <f>ABS(分析結果[[#This Row],[after_change]]-分析結果[[#This Row],[before_change]])</f>
        <v>1</v>
      </c>
      <c r="I4">
        <v>8</v>
      </c>
      <c r="J4">
        <v>7</v>
      </c>
      <c r="K4" t="s">
        <v>29</v>
      </c>
      <c r="L4">
        <v>0</v>
      </c>
      <c r="U4" t="s">
        <v>86</v>
      </c>
    </row>
    <row r="5" spans="1:21" x14ac:dyDescent="0.55000000000000004">
      <c r="A5" t="s">
        <v>0</v>
      </c>
      <c r="B5" s="1" t="s">
        <v>62</v>
      </c>
      <c r="C5" t="s">
        <v>3</v>
      </c>
      <c r="D5">
        <f t="shared" si="0"/>
        <v>277</v>
      </c>
      <c r="E5">
        <v>195</v>
      </c>
      <c r="F5">
        <v>82</v>
      </c>
      <c r="G5" t="s">
        <v>77</v>
      </c>
      <c r="H5">
        <f>ABS(分析結果[[#This Row],[after_change]]-分析結果[[#This Row],[before_change]])</f>
        <v>4</v>
      </c>
      <c r="I5">
        <v>4</v>
      </c>
      <c r="J5">
        <v>8</v>
      </c>
      <c r="K5" t="s">
        <v>63</v>
      </c>
      <c r="L5">
        <v>0</v>
      </c>
      <c r="U5" t="s">
        <v>86</v>
      </c>
    </row>
    <row r="6" spans="1:21" x14ac:dyDescent="0.55000000000000004">
      <c r="A6" t="s">
        <v>0</v>
      </c>
      <c r="B6" s="1" t="s">
        <v>62</v>
      </c>
      <c r="C6" t="s">
        <v>3</v>
      </c>
      <c r="D6">
        <f t="shared" si="0"/>
        <v>277</v>
      </c>
      <c r="E6">
        <v>195</v>
      </c>
      <c r="F6">
        <v>82</v>
      </c>
      <c r="G6" t="s">
        <v>77</v>
      </c>
      <c r="H6">
        <f>ABS(分析結果[[#This Row],[after_change]]-分析結果[[#This Row],[before_change]])</f>
        <v>4</v>
      </c>
      <c r="I6">
        <v>4</v>
      </c>
      <c r="J6">
        <v>8</v>
      </c>
      <c r="K6" t="s">
        <v>64</v>
      </c>
      <c r="L6">
        <v>0</v>
      </c>
      <c r="U6" t="s">
        <v>86</v>
      </c>
    </row>
    <row r="7" spans="1:21" x14ac:dyDescent="0.55000000000000004">
      <c r="A7" t="s">
        <v>0</v>
      </c>
      <c r="B7" s="1" t="s">
        <v>62</v>
      </c>
      <c r="C7" t="s">
        <v>3</v>
      </c>
      <c r="D7">
        <f t="shared" si="0"/>
        <v>277</v>
      </c>
      <c r="E7">
        <v>195</v>
      </c>
      <c r="F7">
        <v>82</v>
      </c>
      <c r="G7" t="s">
        <v>77</v>
      </c>
      <c r="H7">
        <f>ABS(分析結果[[#This Row],[after_change]]-分析結果[[#This Row],[before_change]])</f>
        <v>4</v>
      </c>
      <c r="I7">
        <v>4</v>
      </c>
      <c r="J7">
        <v>8</v>
      </c>
      <c r="K7" t="s">
        <v>65</v>
      </c>
      <c r="L7">
        <v>0</v>
      </c>
      <c r="U7" t="s">
        <v>86</v>
      </c>
    </row>
    <row r="8" spans="1:21" x14ac:dyDescent="0.55000000000000004">
      <c r="A8" t="s">
        <v>0</v>
      </c>
      <c r="B8" s="1" t="s">
        <v>62</v>
      </c>
      <c r="C8" t="s">
        <v>3</v>
      </c>
      <c r="D8">
        <f t="shared" si="0"/>
        <v>277</v>
      </c>
      <c r="E8">
        <v>195</v>
      </c>
      <c r="F8">
        <v>82</v>
      </c>
      <c r="G8" t="s">
        <v>77</v>
      </c>
      <c r="H8">
        <f>ABS(分析結果[[#This Row],[after_change]]-分析結果[[#This Row],[before_change]])</f>
        <v>4</v>
      </c>
      <c r="I8">
        <v>4</v>
      </c>
      <c r="J8">
        <v>8</v>
      </c>
      <c r="K8" t="s">
        <v>29</v>
      </c>
      <c r="L8">
        <v>0</v>
      </c>
      <c r="U8" t="s">
        <v>86</v>
      </c>
    </row>
    <row r="9" spans="1:21" x14ac:dyDescent="0.55000000000000004">
      <c r="A9" t="s">
        <v>0</v>
      </c>
      <c r="B9" s="1" t="s">
        <v>62</v>
      </c>
      <c r="C9" t="s">
        <v>3</v>
      </c>
      <c r="D9">
        <f t="shared" si="0"/>
        <v>277</v>
      </c>
      <c r="E9">
        <v>195</v>
      </c>
      <c r="F9">
        <v>82</v>
      </c>
      <c r="G9" t="s">
        <v>77</v>
      </c>
      <c r="H9">
        <f>ABS(分析結果[[#This Row],[after_change]]-分析結果[[#This Row],[before_change]])</f>
        <v>4</v>
      </c>
      <c r="I9">
        <v>4</v>
      </c>
      <c r="J9">
        <v>8</v>
      </c>
      <c r="K9" t="s">
        <v>52</v>
      </c>
      <c r="L9">
        <v>0</v>
      </c>
      <c r="U9" t="s">
        <v>86</v>
      </c>
    </row>
    <row r="10" spans="1:21" x14ac:dyDescent="0.55000000000000004">
      <c r="A10" t="s">
        <v>0</v>
      </c>
      <c r="B10" s="1" t="s">
        <v>62</v>
      </c>
      <c r="C10" t="s">
        <v>3</v>
      </c>
      <c r="D10">
        <f t="shared" si="0"/>
        <v>277</v>
      </c>
      <c r="E10">
        <v>195</v>
      </c>
      <c r="F10">
        <v>82</v>
      </c>
      <c r="G10" t="s">
        <v>77</v>
      </c>
      <c r="H10">
        <f>ABS(分析結果[[#This Row],[after_change]]-分析結果[[#This Row],[before_change]])</f>
        <v>4</v>
      </c>
      <c r="I10">
        <v>4</v>
      </c>
      <c r="J10">
        <v>8</v>
      </c>
      <c r="K10" t="s">
        <v>22</v>
      </c>
      <c r="L10">
        <v>0</v>
      </c>
      <c r="U10" t="s">
        <v>86</v>
      </c>
    </row>
    <row r="11" spans="1:21" x14ac:dyDescent="0.55000000000000004">
      <c r="A11" t="s">
        <v>0</v>
      </c>
      <c r="B11" t="s">
        <v>61</v>
      </c>
      <c r="C11" t="s">
        <v>3</v>
      </c>
      <c r="D11">
        <f t="shared" si="0"/>
        <v>277</v>
      </c>
      <c r="E11">
        <v>195</v>
      </c>
      <c r="F11">
        <v>82</v>
      </c>
      <c r="G11" t="s">
        <v>77</v>
      </c>
      <c r="H11">
        <f>ABS(分析結果[[#This Row],[after_change]]-分析結果[[#This Row],[before_change]])</f>
        <v>1623.5450280804002</v>
      </c>
      <c r="I11">
        <v>2397.5449116507398</v>
      </c>
      <c r="J11">
        <v>4021.08993973114</v>
      </c>
      <c r="K11" t="s">
        <v>63</v>
      </c>
      <c r="L11">
        <v>0</v>
      </c>
      <c r="U11" t="s">
        <v>86</v>
      </c>
    </row>
    <row r="12" spans="1:21" x14ac:dyDescent="0.55000000000000004">
      <c r="A12" t="s">
        <v>0</v>
      </c>
      <c r="B12" t="s">
        <v>61</v>
      </c>
      <c r="C12" t="s">
        <v>3</v>
      </c>
      <c r="D12">
        <f t="shared" si="0"/>
        <v>277</v>
      </c>
      <c r="E12">
        <v>195</v>
      </c>
      <c r="F12">
        <v>82</v>
      </c>
      <c r="G12" t="s">
        <v>77</v>
      </c>
      <c r="H12">
        <f>ABS(分析結果[[#This Row],[after_change]]-分析結果[[#This Row],[before_change]])</f>
        <v>1623.5450280804002</v>
      </c>
      <c r="I12">
        <v>2397.5449116507398</v>
      </c>
      <c r="J12">
        <v>4021.08993973114</v>
      </c>
      <c r="K12" t="s">
        <v>65</v>
      </c>
      <c r="L12">
        <v>0</v>
      </c>
      <c r="M12" t="s">
        <v>70</v>
      </c>
      <c r="U12" t="s">
        <v>86</v>
      </c>
    </row>
    <row r="13" spans="1:21" x14ac:dyDescent="0.55000000000000004">
      <c r="A13" t="s">
        <v>0</v>
      </c>
      <c r="B13" t="s">
        <v>61</v>
      </c>
      <c r="C13" t="s">
        <v>3</v>
      </c>
      <c r="D13">
        <f t="shared" si="0"/>
        <v>277</v>
      </c>
      <c r="E13">
        <v>195</v>
      </c>
      <c r="F13">
        <v>82</v>
      </c>
      <c r="G13" t="s">
        <v>77</v>
      </c>
      <c r="H13">
        <f>ABS(分析結果[[#This Row],[after_change]]-分析結果[[#This Row],[before_change]])</f>
        <v>1623.5450280804002</v>
      </c>
      <c r="I13">
        <v>2397.5449116507398</v>
      </c>
      <c r="J13">
        <v>4021.08993973114</v>
      </c>
      <c r="K13" t="s">
        <v>64</v>
      </c>
      <c r="L13">
        <v>0</v>
      </c>
      <c r="O13" s="2"/>
      <c r="U13" t="s">
        <v>86</v>
      </c>
    </row>
    <row r="14" spans="1:21" x14ac:dyDescent="0.55000000000000004">
      <c r="A14" t="s">
        <v>0</v>
      </c>
      <c r="B14" t="s">
        <v>61</v>
      </c>
      <c r="C14" t="s">
        <v>3</v>
      </c>
      <c r="D14">
        <f t="shared" si="0"/>
        <v>277</v>
      </c>
      <c r="E14">
        <v>195</v>
      </c>
      <c r="F14">
        <v>82</v>
      </c>
      <c r="G14" t="s">
        <v>77</v>
      </c>
      <c r="H14">
        <f>ABS(分析結果[[#This Row],[after_change]]-分析結果[[#This Row],[before_change]])</f>
        <v>1623.5450280804002</v>
      </c>
      <c r="I14">
        <v>2397.5449116507398</v>
      </c>
      <c r="J14">
        <v>4021.08993973114</v>
      </c>
      <c r="K14" t="s">
        <v>65</v>
      </c>
      <c r="L14">
        <v>0</v>
      </c>
      <c r="O14" s="2"/>
      <c r="U14" t="s">
        <v>86</v>
      </c>
    </row>
    <row r="15" spans="1:21" x14ac:dyDescent="0.55000000000000004">
      <c r="A15" t="s">
        <v>0</v>
      </c>
      <c r="B15" t="s">
        <v>61</v>
      </c>
      <c r="C15" t="s">
        <v>3</v>
      </c>
      <c r="D15">
        <f t="shared" si="0"/>
        <v>277</v>
      </c>
      <c r="E15">
        <v>195</v>
      </c>
      <c r="F15">
        <v>82</v>
      </c>
      <c r="G15" t="s">
        <v>77</v>
      </c>
      <c r="H15">
        <f>ABS(分析結果[[#This Row],[after_change]]-分析結果[[#This Row],[before_change]])</f>
        <v>1623.5450280804002</v>
      </c>
      <c r="I15">
        <v>2397.5449116507398</v>
      </c>
      <c r="J15">
        <v>4021.08993973114</v>
      </c>
      <c r="K15" t="s">
        <v>29</v>
      </c>
      <c r="L15">
        <v>0</v>
      </c>
      <c r="O15" s="2"/>
      <c r="U15" t="s">
        <v>86</v>
      </c>
    </row>
    <row r="16" spans="1:21" x14ac:dyDescent="0.55000000000000004">
      <c r="A16" t="s">
        <v>0</v>
      </c>
      <c r="B16" t="s">
        <v>61</v>
      </c>
      <c r="C16" t="s">
        <v>4</v>
      </c>
      <c r="D16">
        <f t="shared" si="0"/>
        <v>402</v>
      </c>
      <c r="E16">
        <v>268</v>
      </c>
      <c r="F16">
        <v>134</v>
      </c>
      <c r="G16" t="s">
        <v>76</v>
      </c>
      <c r="H16">
        <f>ABS(分析結果[[#This Row],[after_change]]-分析結果[[#This Row],[before_change]])</f>
        <v>13.365817864420023</v>
      </c>
      <c r="I16">
        <v>4021.08993973114</v>
      </c>
      <c r="J16">
        <v>4007.72412186672</v>
      </c>
      <c r="K16" t="s">
        <v>29</v>
      </c>
      <c r="L16">
        <v>0</v>
      </c>
      <c r="O16" s="2"/>
      <c r="U16" t="s">
        <v>86</v>
      </c>
    </row>
    <row r="17" spans="1:21" x14ac:dyDescent="0.55000000000000004">
      <c r="A17" t="s">
        <v>0</v>
      </c>
      <c r="B17" t="s">
        <v>61</v>
      </c>
      <c r="C17" t="s">
        <v>3</v>
      </c>
      <c r="D17">
        <f t="shared" si="0"/>
        <v>277</v>
      </c>
      <c r="E17">
        <v>195</v>
      </c>
      <c r="F17">
        <v>82</v>
      </c>
      <c r="G17" t="s">
        <v>77</v>
      </c>
      <c r="H17">
        <f>ABS(分析結果[[#This Row],[after_change]]-分析結果[[#This Row],[before_change]])</f>
        <v>1623.5450280804002</v>
      </c>
      <c r="I17">
        <v>2397.5449116507398</v>
      </c>
      <c r="J17">
        <v>4021.08993973114</v>
      </c>
      <c r="K17" t="s">
        <v>52</v>
      </c>
      <c r="L17">
        <v>0</v>
      </c>
      <c r="O17" s="2"/>
      <c r="U17" t="s">
        <v>86</v>
      </c>
    </row>
    <row r="18" spans="1:21" x14ac:dyDescent="0.55000000000000004">
      <c r="A18" t="s">
        <v>0</v>
      </c>
      <c r="B18" t="s">
        <v>61</v>
      </c>
      <c r="C18" t="s">
        <v>3</v>
      </c>
      <c r="D18">
        <f t="shared" si="0"/>
        <v>277</v>
      </c>
      <c r="E18">
        <v>195</v>
      </c>
      <c r="F18">
        <v>82</v>
      </c>
      <c r="G18" t="s">
        <v>77</v>
      </c>
      <c r="H18">
        <f>ABS(分析結果[[#This Row],[after_change]]-分析結果[[#This Row],[before_change]])</f>
        <v>1623.5450280804002</v>
      </c>
      <c r="I18">
        <v>2397.5449116507398</v>
      </c>
      <c r="J18">
        <v>4021.08993973114</v>
      </c>
      <c r="K18" t="s">
        <v>22</v>
      </c>
      <c r="L18">
        <v>0</v>
      </c>
      <c r="O18" s="2"/>
      <c r="U18" t="s">
        <v>86</v>
      </c>
    </row>
    <row r="19" spans="1:21" x14ac:dyDescent="0.55000000000000004">
      <c r="A19" t="s">
        <v>0</v>
      </c>
      <c r="B19" s="1" t="s">
        <v>61</v>
      </c>
      <c r="C19" s="1" t="s">
        <v>2</v>
      </c>
      <c r="D19">
        <f t="shared" si="0"/>
        <v>751</v>
      </c>
      <c r="E19">
        <v>58</v>
      </c>
      <c r="F19">
        <v>693</v>
      </c>
      <c r="G19" t="s">
        <v>76</v>
      </c>
      <c r="H19">
        <f>ABS(分析結果[[#This Row],[after_change]]-分析結果[[#This Row],[before_change]])</f>
        <v>18.360615449810211</v>
      </c>
      <c r="I19">
        <v>2415.90552710055</v>
      </c>
      <c r="J19">
        <v>2397.5449116507398</v>
      </c>
      <c r="K19" s="1" t="s">
        <v>52</v>
      </c>
      <c r="L19">
        <v>1</v>
      </c>
      <c r="M19" t="s">
        <v>81</v>
      </c>
      <c r="O19" t="s">
        <v>23</v>
      </c>
      <c r="P19" t="s">
        <v>79</v>
      </c>
      <c r="U19">
        <v>1</v>
      </c>
    </row>
    <row r="20" spans="1:21" x14ac:dyDescent="0.55000000000000004">
      <c r="A20" t="s">
        <v>0</v>
      </c>
      <c r="B20" s="1" t="s">
        <v>71</v>
      </c>
      <c r="C20" t="s">
        <v>3</v>
      </c>
      <c r="D20">
        <f t="shared" si="0"/>
        <v>277</v>
      </c>
      <c r="E20">
        <v>195</v>
      </c>
      <c r="F20">
        <v>82</v>
      </c>
      <c r="G20" t="s">
        <v>77</v>
      </c>
      <c r="H20">
        <f>ABS(分析結果[[#This Row],[after_change]]-分析結果[[#This Row],[before_change]])</f>
        <v>112</v>
      </c>
      <c r="I20">
        <v>280</v>
      </c>
      <c r="J20">
        <v>392</v>
      </c>
      <c r="K20" s="3" t="s">
        <v>72</v>
      </c>
      <c r="L20">
        <v>0</v>
      </c>
      <c r="O20" s="2"/>
      <c r="U20" t="s">
        <v>86</v>
      </c>
    </row>
    <row r="21" spans="1:21" x14ac:dyDescent="0.55000000000000004">
      <c r="A21" t="s">
        <v>0</v>
      </c>
      <c r="B21" s="1" t="s">
        <v>71</v>
      </c>
      <c r="C21" t="s">
        <v>3</v>
      </c>
      <c r="D21">
        <f t="shared" si="0"/>
        <v>277</v>
      </c>
      <c r="E21">
        <v>195</v>
      </c>
      <c r="F21">
        <v>82</v>
      </c>
      <c r="G21" t="s">
        <v>77</v>
      </c>
      <c r="H21">
        <f>ABS(分析結果[[#This Row],[after_change]]-分析結果[[#This Row],[before_change]])</f>
        <v>112</v>
      </c>
      <c r="I21">
        <v>280</v>
      </c>
      <c r="J21">
        <v>392</v>
      </c>
      <c r="K21" s="3" t="s">
        <v>84</v>
      </c>
      <c r="L21">
        <v>0</v>
      </c>
      <c r="O21" s="2"/>
      <c r="U21" t="s">
        <v>86</v>
      </c>
    </row>
    <row r="22" spans="1:21" x14ac:dyDescent="0.55000000000000004">
      <c r="A22" t="s">
        <v>0</v>
      </c>
      <c r="B22" s="1" t="s">
        <v>71</v>
      </c>
      <c r="C22" t="s">
        <v>3</v>
      </c>
      <c r="D22">
        <f t="shared" si="0"/>
        <v>277</v>
      </c>
      <c r="E22">
        <v>195</v>
      </c>
      <c r="F22">
        <v>82</v>
      </c>
      <c r="G22" t="s">
        <v>77</v>
      </c>
      <c r="H22">
        <f>ABS(分析結果[[#This Row],[after_change]]-分析結果[[#This Row],[before_change]])</f>
        <v>112</v>
      </c>
      <c r="I22">
        <v>280</v>
      </c>
      <c r="J22">
        <v>392</v>
      </c>
      <c r="K22" s="3" t="s">
        <v>73</v>
      </c>
      <c r="L22">
        <v>0</v>
      </c>
      <c r="O22" s="2"/>
      <c r="U22" t="s">
        <v>86</v>
      </c>
    </row>
    <row r="23" spans="1:21" x14ac:dyDescent="0.55000000000000004">
      <c r="A23" t="s">
        <v>0</v>
      </c>
      <c r="B23" s="1" t="s">
        <v>71</v>
      </c>
      <c r="C23" t="s">
        <v>3</v>
      </c>
      <c r="D23">
        <f t="shared" si="0"/>
        <v>277</v>
      </c>
      <c r="E23">
        <v>195</v>
      </c>
      <c r="F23">
        <v>82</v>
      </c>
      <c r="G23" t="s">
        <v>77</v>
      </c>
      <c r="H23">
        <f>ABS(分析結果[[#This Row],[after_change]]-分析結果[[#This Row],[before_change]])</f>
        <v>112</v>
      </c>
      <c r="I23">
        <v>280</v>
      </c>
      <c r="J23">
        <v>392</v>
      </c>
      <c r="K23" s="3" t="s">
        <v>72</v>
      </c>
      <c r="L23">
        <v>0</v>
      </c>
      <c r="O23" s="2"/>
      <c r="U23" t="s">
        <v>86</v>
      </c>
    </row>
    <row r="24" spans="1:21" x14ac:dyDescent="0.55000000000000004">
      <c r="A24" t="s">
        <v>5</v>
      </c>
      <c r="B24" s="1" t="s">
        <v>61</v>
      </c>
      <c r="C24" t="s">
        <v>6</v>
      </c>
      <c r="D24">
        <f t="shared" si="0"/>
        <v>582</v>
      </c>
      <c r="E24">
        <v>356</v>
      </c>
      <c r="F24">
        <v>226</v>
      </c>
      <c r="G24" t="s">
        <v>76</v>
      </c>
      <c r="H24">
        <f>ABS(分析結果[[#This Row],[after_change]]-分析結果[[#This Row],[before_change]])</f>
        <v>30.547153746700133</v>
      </c>
      <c r="I24">
        <v>10603.6057421349</v>
      </c>
      <c r="J24">
        <v>10573.058588388199</v>
      </c>
      <c r="K24" t="s">
        <v>53</v>
      </c>
      <c r="L24">
        <v>1</v>
      </c>
      <c r="M24" t="s">
        <v>81</v>
      </c>
      <c r="O24" t="s">
        <v>24</v>
      </c>
      <c r="P24" t="s">
        <v>79</v>
      </c>
      <c r="U24">
        <v>1</v>
      </c>
    </row>
    <row r="25" spans="1:21" x14ac:dyDescent="0.55000000000000004">
      <c r="A25" t="s">
        <v>5</v>
      </c>
      <c r="B25" s="1" t="s">
        <v>61</v>
      </c>
      <c r="C25" t="s">
        <v>7</v>
      </c>
      <c r="D25">
        <f t="shared" ref="D25:D27" si="1">E25+F25</f>
        <v>813</v>
      </c>
      <c r="E25">
        <v>103</v>
      </c>
      <c r="F25">
        <v>710</v>
      </c>
      <c r="G25" t="s">
        <v>76</v>
      </c>
      <c r="H25">
        <f>ABS(分析結果[[#This Row],[after_change]]-分析結果[[#This Row],[before_change]])</f>
        <v>70.832931775999896</v>
      </c>
      <c r="I25">
        <v>10573.058588388199</v>
      </c>
      <c r="J25">
        <v>10502.2256566122</v>
      </c>
      <c r="K25" t="s">
        <v>54</v>
      </c>
      <c r="L25">
        <v>1</v>
      </c>
      <c r="M25" t="s">
        <v>81</v>
      </c>
      <c r="O25" t="s">
        <v>23</v>
      </c>
      <c r="P25" t="s">
        <v>79</v>
      </c>
      <c r="U25">
        <v>1</v>
      </c>
    </row>
    <row r="26" spans="1:21" x14ac:dyDescent="0.55000000000000004">
      <c r="A26" t="s">
        <v>5</v>
      </c>
      <c r="B26" s="1" t="s">
        <v>61</v>
      </c>
      <c r="C26" t="s">
        <v>7</v>
      </c>
      <c r="D26">
        <f t="shared" si="1"/>
        <v>813</v>
      </c>
      <c r="E26">
        <v>103</v>
      </c>
      <c r="F26">
        <v>710</v>
      </c>
      <c r="G26" t="s">
        <v>76</v>
      </c>
      <c r="H26">
        <f>ABS(分析結果[[#This Row],[after_change]]-分析結果[[#This Row],[before_change]])</f>
        <v>70.832931775999896</v>
      </c>
      <c r="I26">
        <v>10573.058588388199</v>
      </c>
      <c r="J26">
        <v>10502.2256566122</v>
      </c>
      <c r="K26" t="s">
        <v>55</v>
      </c>
      <c r="L26">
        <v>1</v>
      </c>
      <c r="M26" t="s">
        <v>81</v>
      </c>
      <c r="O26" t="s">
        <v>23</v>
      </c>
      <c r="P26" t="s">
        <v>79</v>
      </c>
      <c r="U26">
        <v>1</v>
      </c>
    </row>
    <row r="27" spans="1:21" x14ac:dyDescent="0.55000000000000004">
      <c r="A27" t="s">
        <v>5</v>
      </c>
      <c r="B27" s="1" t="s">
        <v>61</v>
      </c>
      <c r="C27" t="s">
        <v>7</v>
      </c>
      <c r="D27">
        <f t="shared" si="1"/>
        <v>813</v>
      </c>
      <c r="E27">
        <v>103</v>
      </c>
      <c r="F27">
        <v>710</v>
      </c>
      <c r="G27" t="s">
        <v>76</v>
      </c>
      <c r="H27">
        <f>ABS(分析結果[[#This Row],[after_change]]-分析結果[[#This Row],[before_change]])</f>
        <v>70.832931775999896</v>
      </c>
      <c r="I27">
        <v>10573.058588388199</v>
      </c>
      <c r="J27">
        <v>10502.2256566122</v>
      </c>
      <c r="K27" t="s">
        <v>56</v>
      </c>
      <c r="L27">
        <v>1</v>
      </c>
      <c r="M27" t="s">
        <v>81</v>
      </c>
      <c r="O27" t="s">
        <v>23</v>
      </c>
      <c r="P27" t="s">
        <v>79</v>
      </c>
      <c r="U27">
        <v>1</v>
      </c>
    </row>
    <row r="28" spans="1:21" x14ac:dyDescent="0.55000000000000004">
      <c r="A28" t="s">
        <v>5</v>
      </c>
      <c r="B28" s="1" t="s">
        <v>61</v>
      </c>
      <c r="C28" t="s">
        <v>7</v>
      </c>
      <c r="D28">
        <f t="shared" si="0"/>
        <v>813</v>
      </c>
      <c r="E28">
        <v>103</v>
      </c>
      <c r="F28">
        <v>710</v>
      </c>
      <c r="G28" t="s">
        <v>76</v>
      </c>
      <c r="H28">
        <f>ABS(分析結果[[#This Row],[after_change]]-分析結果[[#This Row],[before_change]])</f>
        <v>70.832931775999896</v>
      </c>
      <c r="I28">
        <v>10573.058588388199</v>
      </c>
      <c r="J28">
        <v>10502.2256566122</v>
      </c>
      <c r="K28" t="s">
        <v>57</v>
      </c>
      <c r="L28">
        <v>1</v>
      </c>
      <c r="M28" t="s">
        <v>81</v>
      </c>
      <c r="O28" t="s">
        <v>23</v>
      </c>
      <c r="P28" t="s">
        <v>79</v>
      </c>
      <c r="U28">
        <v>1</v>
      </c>
    </row>
    <row r="29" spans="1:21" x14ac:dyDescent="0.55000000000000004">
      <c r="A29" t="s">
        <v>5</v>
      </c>
      <c r="B29" s="1" t="s">
        <v>71</v>
      </c>
      <c r="C29" t="s">
        <v>3</v>
      </c>
      <c r="D29">
        <f t="shared" si="0"/>
        <v>277</v>
      </c>
      <c r="E29">
        <v>195</v>
      </c>
      <c r="F29">
        <v>82</v>
      </c>
      <c r="G29" t="s">
        <v>77</v>
      </c>
      <c r="H29">
        <f>ABS(分析結果[[#This Row],[after_change]]-分析結果[[#This Row],[before_change]])</f>
        <v>112</v>
      </c>
      <c r="I29">
        <v>280</v>
      </c>
      <c r="J29">
        <v>392</v>
      </c>
      <c r="K29" t="s">
        <v>74</v>
      </c>
      <c r="L29">
        <v>0</v>
      </c>
      <c r="U29" t="s">
        <v>86</v>
      </c>
    </row>
    <row r="30" spans="1:21" x14ac:dyDescent="0.55000000000000004">
      <c r="A30" t="s">
        <v>5</v>
      </c>
      <c r="B30" s="1" t="s">
        <v>61</v>
      </c>
      <c r="C30" t="s">
        <v>7</v>
      </c>
      <c r="D30">
        <f>E30+F30</f>
        <v>813</v>
      </c>
      <c r="E30">
        <v>103</v>
      </c>
      <c r="F30">
        <v>710</v>
      </c>
      <c r="G30" t="s">
        <v>76</v>
      </c>
      <c r="H30">
        <f>ABS(分析結果[[#This Row],[after_change]]-分析結果[[#This Row],[before_change]])</f>
        <v>70.832931775999896</v>
      </c>
      <c r="I30">
        <v>10573.058588388199</v>
      </c>
      <c r="J30">
        <v>10502.2256566122</v>
      </c>
      <c r="K30" t="s">
        <v>53</v>
      </c>
      <c r="L30">
        <v>1</v>
      </c>
      <c r="M30" t="s">
        <v>81</v>
      </c>
      <c r="O30" t="s">
        <v>23</v>
      </c>
      <c r="P30" t="s">
        <v>79</v>
      </c>
      <c r="U30">
        <v>1</v>
      </c>
    </row>
    <row r="31" spans="1:21" x14ac:dyDescent="0.55000000000000004">
      <c r="A31" t="s">
        <v>5</v>
      </c>
      <c r="B31" s="1" t="s">
        <v>61</v>
      </c>
      <c r="C31" t="s">
        <v>8</v>
      </c>
      <c r="D31">
        <f t="shared" ref="D31:D33" si="2">E31+F31</f>
        <v>8002</v>
      </c>
      <c r="E31">
        <v>4368</v>
      </c>
      <c r="F31">
        <v>3634</v>
      </c>
      <c r="G31" t="s">
        <v>77</v>
      </c>
      <c r="H31">
        <f>ABS(分析結果[[#This Row],[after_change]]-分析結果[[#This Row],[before_change]])</f>
        <v>84.869652242099619</v>
      </c>
      <c r="I31">
        <v>10502.2256566122</v>
      </c>
      <c r="J31">
        <v>10587.095308854299</v>
      </c>
      <c r="K31" t="s">
        <v>54</v>
      </c>
      <c r="L31">
        <v>1</v>
      </c>
      <c r="M31" t="s">
        <v>82</v>
      </c>
      <c r="O31" t="s">
        <v>25</v>
      </c>
      <c r="P31" t="s">
        <v>51</v>
      </c>
      <c r="R31" t="s">
        <v>26</v>
      </c>
      <c r="S31" t="s">
        <v>80</v>
      </c>
      <c r="U31">
        <v>1</v>
      </c>
    </row>
    <row r="32" spans="1:21" x14ac:dyDescent="0.55000000000000004">
      <c r="A32" t="s">
        <v>5</v>
      </c>
      <c r="B32" s="1" t="s">
        <v>61</v>
      </c>
      <c r="C32" t="s">
        <v>8</v>
      </c>
      <c r="D32">
        <f t="shared" si="2"/>
        <v>8002</v>
      </c>
      <c r="E32">
        <v>4368</v>
      </c>
      <c r="F32">
        <v>3634</v>
      </c>
      <c r="G32" t="s">
        <v>77</v>
      </c>
      <c r="H32">
        <f>ABS(分析結果[[#This Row],[after_change]]-分析結果[[#This Row],[before_change]])</f>
        <v>84.869652242099619</v>
      </c>
      <c r="I32">
        <v>10502.2256566122</v>
      </c>
      <c r="J32">
        <v>10587.095308854299</v>
      </c>
      <c r="K32" t="s">
        <v>55</v>
      </c>
      <c r="L32">
        <v>1</v>
      </c>
      <c r="M32" t="s">
        <v>82</v>
      </c>
      <c r="O32" t="s">
        <v>25</v>
      </c>
      <c r="P32" t="s">
        <v>51</v>
      </c>
      <c r="R32" t="s">
        <v>26</v>
      </c>
      <c r="S32" t="s">
        <v>80</v>
      </c>
      <c r="U32">
        <v>1</v>
      </c>
    </row>
    <row r="33" spans="1:21" x14ac:dyDescent="0.55000000000000004">
      <c r="A33" t="s">
        <v>5</v>
      </c>
      <c r="B33" s="1" t="s">
        <v>61</v>
      </c>
      <c r="C33" t="s">
        <v>8</v>
      </c>
      <c r="D33">
        <f t="shared" si="2"/>
        <v>8002</v>
      </c>
      <c r="E33">
        <v>4368</v>
      </c>
      <c r="F33">
        <v>3634</v>
      </c>
      <c r="G33" t="s">
        <v>77</v>
      </c>
      <c r="H33">
        <f>ABS(分析結果[[#This Row],[after_change]]-分析結果[[#This Row],[before_change]])</f>
        <v>84.869652242099619</v>
      </c>
      <c r="I33">
        <v>10502.2256566122</v>
      </c>
      <c r="J33">
        <v>10587.095308854299</v>
      </c>
      <c r="K33" t="s">
        <v>56</v>
      </c>
      <c r="L33">
        <v>1</v>
      </c>
      <c r="M33" t="s">
        <v>82</v>
      </c>
      <c r="O33" t="s">
        <v>25</v>
      </c>
      <c r="P33" t="s">
        <v>51</v>
      </c>
      <c r="R33" t="s">
        <v>26</v>
      </c>
      <c r="S33" t="s">
        <v>80</v>
      </c>
      <c r="U33">
        <v>1</v>
      </c>
    </row>
    <row r="34" spans="1:21" x14ac:dyDescent="0.55000000000000004">
      <c r="A34" t="s">
        <v>5</v>
      </c>
      <c r="B34" s="1" t="s">
        <v>61</v>
      </c>
      <c r="C34" t="s">
        <v>8</v>
      </c>
      <c r="D34">
        <f t="shared" si="0"/>
        <v>8002</v>
      </c>
      <c r="E34">
        <v>4368</v>
      </c>
      <c r="F34">
        <v>3634</v>
      </c>
      <c r="G34" t="s">
        <v>77</v>
      </c>
      <c r="H34">
        <f>ABS(分析結果[[#This Row],[after_change]]-分析結果[[#This Row],[before_change]])</f>
        <v>84.869652242099619</v>
      </c>
      <c r="I34">
        <v>10502.2256566122</v>
      </c>
      <c r="J34">
        <v>10587.095308854299</v>
      </c>
      <c r="K34" t="s">
        <v>57</v>
      </c>
      <c r="L34">
        <v>1</v>
      </c>
      <c r="M34" t="s">
        <v>82</v>
      </c>
      <c r="O34" t="s">
        <v>25</v>
      </c>
      <c r="P34" t="s">
        <v>51</v>
      </c>
      <c r="R34" t="s">
        <v>26</v>
      </c>
      <c r="S34" t="s">
        <v>80</v>
      </c>
      <c r="U34">
        <v>1</v>
      </c>
    </row>
    <row r="35" spans="1:21" x14ac:dyDescent="0.55000000000000004">
      <c r="A35" t="s">
        <v>9</v>
      </c>
      <c r="B35" s="1" t="s">
        <v>61</v>
      </c>
      <c r="C35" t="s">
        <v>17</v>
      </c>
      <c r="D35">
        <f t="shared" si="0"/>
        <v>365</v>
      </c>
      <c r="E35">
        <v>230</v>
      </c>
      <c r="F35">
        <v>135</v>
      </c>
      <c r="G35" t="s">
        <v>77</v>
      </c>
      <c r="H35">
        <f>ABS(分析結果[[#This Row],[after_change]]-分析結果[[#This Row],[before_change]])</f>
        <v>2.2109190800620127E-2</v>
      </c>
      <c r="I35">
        <v>10105.6600683984</v>
      </c>
      <c r="J35">
        <v>10105.6821775892</v>
      </c>
      <c r="K35" s="2" t="s">
        <v>59</v>
      </c>
      <c r="L35">
        <v>1</v>
      </c>
      <c r="M35" t="s">
        <v>83</v>
      </c>
      <c r="O35" t="s">
        <v>27</v>
      </c>
      <c r="P35" t="s">
        <v>78</v>
      </c>
      <c r="U35">
        <v>1</v>
      </c>
    </row>
    <row r="36" spans="1:21" x14ac:dyDescent="0.55000000000000004">
      <c r="A36" t="s">
        <v>9</v>
      </c>
      <c r="B36" s="1" t="s">
        <v>62</v>
      </c>
      <c r="C36" t="s">
        <v>4</v>
      </c>
      <c r="D36">
        <f t="shared" si="0"/>
        <v>402</v>
      </c>
      <c r="E36">
        <v>268</v>
      </c>
      <c r="F36">
        <v>134</v>
      </c>
      <c r="G36" t="s">
        <v>76</v>
      </c>
      <c r="H36">
        <f>ABS(分析結果[[#This Row],[after_change]]-分析結果[[#This Row],[before_change]])</f>
        <v>3</v>
      </c>
      <c r="I36">
        <v>19</v>
      </c>
      <c r="J36">
        <v>16</v>
      </c>
      <c r="K36" t="s">
        <v>66</v>
      </c>
      <c r="L36">
        <v>0</v>
      </c>
      <c r="U36" t="s">
        <v>86</v>
      </c>
    </row>
    <row r="37" spans="1:21" x14ac:dyDescent="0.55000000000000004">
      <c r="A37" t="s">
        <v>18</v>
      </c>
      <c r="B37" s="1" t="s">
        <v>62</v>
      </c>
      <c r="C37" t="s">
        <v>3</v>
      </c>
      <c r="D37">
        <f t="shared" si="0"/>
        <v>277</v>
      </c>
      <c r="E37">
        <v>195</v>
      </c>
      <c r="F37">
        <v>82</v>
      </c>
      <c r="G37" t="s">
        <v>77</v>
      </c>
      <c r="H37">
        <f>ABS(分析結果[[#This Row],[after_change]]-分析結果[[#This Row],[before_change]])</f>
        <v>3</v>
      </c>
      <c r="I37">
        <v>16</v>
      </c>
      <c r="J37">
        <v>19</v>
      </c>
      <c r="K37" t="s">
        <v>66</v>
      </c>
      <c r="L37">
        <v>0</v>
      </c>
      <c r="U37" t="s">
        <v>86</v>
      </c>
    </row>
    <row r="38" spans="1:21" x14ac:dyDescent="0.55000000000000004">
      <c r="A38" t="s">
        <v>18</v>
      </c>
      <c r="B38" t="s">
        <v>61</v>
      </c>
      <c r="C38" t="s">
        <v>4</v>
      </c>
      <c r="D38">
        <f t="shared" si="0"/>
        <v>402</v>
      </c>
      <c r="E38">
        <v>268</v>
      </c>
      <c r="F38">
        <v>134</v>
      </c>
      <c r="G38" t="s">
        <v>76</v>
      </c>
      <c r="H38">
        <f>ABS(分析結果[[#This Row],[after_change]]-分析結果[[#This Row],[before_change]])</f>
        <v>2843.9559329339991</v>
      </c>
      <c r="I38">
        <v>12910.7387536311</v>
      </c>
      <c r="J38">
        <v>10066.782820697101</v>
      </c>
      <c r="K38" t="s">
        <v>66</v>
      </c>
      <c r="L38">
        <v>0</v>
      </c>
      <c r="U38" t="s">
        <v>86</v>
      </c>
    </row>
    <row r="39" spans="1:21" x14ac:dyDescent="0.55000000000000004">
      <c r="A39" t="s">
        <v>9</v>
      </c>
      <c r="B39" t="s">
        <v>61</v>
      </c>
      <c r="C39" t="s">
        <v>3</v>
      </c>
      <c r="D39">
        <f t="shared" ref="D39:D67" si="3">E39+F39</f>
        <v>277</v>
      </c>
      <c r="E39">
        <v>195</v>
      </c>
      <c r="F39">
        <v>82</v>
      </c>
      <c r="G39" t="s">
        <v>77</v>
      </c>
      <c r="H39">
        <f>ABS(分析結果[[#This Row],[after_change]]-分析結果[[#This Row],[before_change]])</f>
        <v>2843.9559329339991</v>
      </c>
      <c r="I39">
        <v>10066.782820697101</v>
      </c>
      <c r="J39">
        <v>12910.7387536311</v>
      </c>
      <c r="K39" t="s">
        <v>66</v>
      </c>
      <c r="L39">
        <v>0</v>
      </c>
      <c r="U39" t="s">
        <v>86</v>
      </c>
    </row>
    <row r="40" spans="1:21" x14ac:dyDescent="0.55000000000000004">
      <c r="A40" t="s">
        <v>9</v>
      </c>
      <c r="B40" s="1" t="s">
        <v>61</v>
      </c>
      <c r="C40" t="s">
        <v>2</v>
      </c>
      <c r="D40">
        <f t="shared" ref="D40" si="4">E40+F40</f>
        <v>751</v>
      </c>
      <c r="E40">
        <v>58</v>
      </c>
      <c r="F40">
        <v>693</v>
      </c>
      <c r="G40" t="s">
        <v>76</v>
      </c>
      <c r="H40">
        <f>ABS(分析結果[[#This Row],[after_change]]-分析結果[[#This Row],[before_change]])</f>
        <v>38.899356892099604</v>
      </c>
      <c r="I40">
        <v>10105.6821775892</v>
      </c>
      <c r="J40">
        <v>10066.782820697101</v>
      </c>
      <c r="K40" t="s">
        <v>54</v>
      </c>
      <c r="L40">
        <v>1</v>
      </c>
      <c r="M40" t="s">
        <v>81</v>
      </c>
      <c r="O40" t="s">
        <v>23</v>
      </c>
      <c r="P40" t="s">
        <v>79</v>
      </c>
      <c r="U40">
        <v>1</v>
      </c>
    </row>
    <row r="41" spans="1:21" x14ac:dyDescent="0.55000000000000004">
      <c r="A41" t="s">
        <v>9</v>
      </c>
      <c r="B41" s="1" t="s">
        <v>61</v>
      </c>
      <c r="C41" t="s">
        <v>2</v>
      </c>
      <c r="D41">
        <f t="shared" si="3"/>
        <v>751</v>
      </c>
      <c r="E41">
        <v>58</v>
      </c>
      <c r="F41">
        <v>693</v>
      </c>
      <c r="G41" t="s">
        <v>76</v>
      </c>
      <c r="H41">
        <f>ABS(分析結果[[#This Row],[after_change]]-分析結果[[#This Row],[before_change]])</f>
        <v>38.899356892099604</v>
      </c>
      <c r="I41">
        <v>10105.6821775892</v>
      </c>
      <c r="J41">
        <v>10066.782820697101</v>
      </c>
      <c r="K41" t="s">
        <v>55</v>
      </c>
      <c r="L41">
        <v>1</v>
      </c>
      <c r="M41" t="s">
        <v>81</v>
      </c>
      <c r="O41" t="s">
        <v>23</v>
      </c>
      <c r="P41" t="s">
        <v>79</v>
      </c>
      <c r="U41">
        <v>1</v>
      </c>
    </row>
    <row r="42" spans="1:21" x14ac:dyDescent="0.55000000000000004">
      <c r="A42" t="s">
        <v>10</v>
      </c>
      <c r="B42" s="1" t="s">
        <v>71</v>
      </c>
      <c r="C42" t="s">
        <v>13</v>
      </c>
      <c r="D42">
        <f t="shared" si="3"/>
        <v>106</v>
      </c>
      <c r="E42">
        <v>84</v>
      </c>
      <c r="F42">
        <v>22</v>
      </c>
      <c r="G42" t="s">
        <v>77</v>
      </c>
      <c r="H42">
        <f>ABS(分析結果[[#This Row],[after_change]]-分析結果[[#This Row],[before_change]])</f>
        <v>36</v>
      </c>
      <c r="I42">
        <v>99</v>
      </c>
      <c r="J42">
        <v>135</v>
      </c>
      <c r="K42" s="3" t="s">
        <v>72</v>
      </c>
      <c r="L42">
        <v>0</v>
      </c>
      <c r="U42" t="s">
        <v>86</v>
      </c>
    </row>
    <row r="43" spans="1:21" x14ac:dyDescent="0.55000000000000004">
      <c r="A43" t="s">
        <v>10</v>
      </c>
      <c r="B43" s="1" t="s">
        <v>62</v>
      </c>
      <c r="C43" t="s">
        <v>4</v>
      </c>
      <c r="D43">
        <f t="shared" si="3"/>
        <v>402</v>
      </c>
      <c r="E43">
        <v>268</v>
      </c>
      <c r="F43">
        <v>134</v>
      </c>
      <c r="G43" t="s">
        <v>76</v>
      </c>
      <c r="H43">
        <f>ABS(分析結果[[#This Row],[after_change]]-分析結果[[#This Row],[before_change]])</f>
        <v>3</v>
      </c>
      <c r="I43">
        <v>15</v>
      </c>
      <c r="J43">
        <v>12</v>
      </c>
      <c r="K43" t="s">
        <v>67</v>
      </c>
      <c r="L43">
        <v>0</v>
      </c>
      <c r="U43" t="s">
        <v>86</v>
      </c>
    </row>
    <row r="44" spans="1:21" x14ac:dyDescent="0.55000000000000004">
      <c r="A44" t="s">
        <v>10</v>
      </c>
      <c r="B44" s="1" t="s">
        <v>62</v>
      </c>
      <c r="C44" t="s">
        <v>4</v>
      </c>
      <c r="D44">
        <f t="shared" si="3"/>
        <v>402</v>
      </c>
      <c r="E44">
        <v>268</v>
      </c>
      <c r="F44">
        <v>134</v>
      </c>
      <c r="G44" t="s">
        <v>76</v>
      </c>
      <c r="H44">
        <f>ABS(分析結果[[#This Row],[after_change]]-分析結果[[#This Row],[before_change]])</f>
        <v>3</v>
      </c>
      <c r="I44">
        <v>15</v>
      </c>
      <c r="J44">
        <v>12</v>
      </c>
      <c r="K44" t="s">
        <v>66</v>
      </c>
      <c r="L44">
        <v>0</v>
      </c>
      <c r="U44" t="s">
        <v>86</v>
      </c>
    </row>
    <row r="45" spans="1:21" x14ac:dyDescent="0.55000000000000004">
      <c r="A45" t="s">
        <v>19</v>
      </c>
      <c r="B45" t="s">
        <v>61</v>
      </c>
      <c r="C45" t="s">
        <v>4</v>
      </c>
      <c r="D45">
        <f t="shared" si="3"/>
        <v>402</v>
      </c>
      <c r="E45">
        <v>268</v>
      </c>
      <c r="F45">
        <v>134</v>
      </c>
      <c r="G45" t="s">
        <v>76</v>
      </c>
      <c r="H45">
        <f>ABS(分析結果[[#This Row],[after_change]]-分析結果[[#This Row],[before_change]])</f>
        <v>876.27344635221925</v>
      </c>
      <c r="I45">
        <v>9282.1355081583297</v>
      </c>
      <c r="J45">
        <v>8405.8620618061104</v>
      </c>
      <c r="K45" t="s">
        <v>67</v>
      </c>
      <c r="L45">
        <v>0</v>
      </c>
      <c r="U45" t="s">
        <v>86</v>
      </c>
    </row>
    <row r="46" spans="1:21" x14ac:dyDescent="0.55000000000000004">
      <c r="A46" t="s">
        <v>19</v>
      </c>
      <c r="B46" t="s">
        <v>61</v>
      </c>
      <c r="C46" t="s">
        <v>4</v>
      </c>
      <c r="D46">
        <f t="shared" si="3"/>
        <v>402</v>
      </c>
      <c r="E46">
        <v>268</v>
      </c>
      <c r="F46">
        <v>134</v>
      </c>
      <c r="G46" t="s">
        <v>76</v>
      </c>
      <c r="H46">
        <f>ABS(分析結果[[#This Row],[after_change]]-分析結果[[#This Row],[before_change]])</f>
        <v>876.27344635221925</v>
      </c>
      <c r="I46">
        <v>9282.1355081583297</v>
      </c>
      <c r="J46">
        <v>8405.8620618061104</v>
      </c>
      <c r="K46" t="s">
        <v>66</v>
      </c>
      <c r="L46">
        <v>0</v>
      </c>
      <c r="U46" t="s">
        <v>86</v>
      </c>
    </row>
    <row r="47" spans="1:21" x14ac:dyDescent="0.55000000000000004">
      <c r="A47" t="s">
        <v>10</v>
      </c>
      <c r="B47" s="1" t="s">
        <v>61</v>
      </c>
      <c r="C47" t="s">
        <v>11</v>
      </c>
      <c r="D47">
        <f t="shared" ref="D47" si="5">E47+F47</f>
        <v>2656</v>
      </c>
      <c r="E47">
        <v>1356</v>
      </c>
      <c r="F47">
        <v>1300</v>
      </c>
      <c r="G47" t="s">
        <v>76</v>
      </c>
      <c r="H47">
        <f>ABS(分析結果[[#This Row],[after_change]]-分析結果[[#This Row],[before_change]])</f>
        <v>33.048113103670403</v>
      </c>
      <c r="I47">
        <v>8438.9101749097808</v>
      </c>
      <c r="J47">
        <v>8405.8620618061104</v>
      </c>
      <c r="K47" t="s">
        <v>54</v>
      </c>
      <c r="L47">
        <v>1</v>
      </c>
      <c r="M47" t="s">
        <v>81</v>
      </c>
      <c r="O47" t="s">
        <v>23</v>
      </c>
      <c r="P47" t="s">
        <v>79</v>
      </c>
      <c r="U47">
        <v>1</v>
      </c>
    </row>
    <row r="48" spans="1:21" x14ac:dyDescent="0.55000000000000004">
      <c r="A48" t="s">
        <v>10</v>
      </c>
      <c r="B48" s="1" t="s">
        <v>61</v>
      </c>
      <c r="C48" t="s">
        <v>11</v>
      </c>
      <c r="D48">
        <f t="shared" si="3"/>
        <v>2656</v>
      </c>
      <c r="E48">
        <v>1356</v>
      </c>
      <c r="F48">
        <v>1300</v>
      </c>
      <c r="G48" t="s">
        <v>76</v>
      </c>
      <c r="H48">
        <f>ABS(分析結果[[#This Row],[after_change]]-分析結果[[#This Row],[before_change]])</f>
        <v>33.048113103670403</v>
      </c>
      <c r="I48">
        <v>8438.9101749097808</v>
      </c>
      <c r="J48">
        <v>8405.8620618061104</v>
      </c>
      <c r="K48" t="s">
        <v>55</v>
      </c>
      <c r="L48">
        <v>1</v>
      </c>
      <c r="M48" t="s">
        <v>81</v>
      </c>
      <c r="O48" t="s">
        <v>23</v>
      </c>
      <c r="P48" t="s">
        <v>79</v>
      </c>
      <c r="U48">
        <v>1</v>
      </c>
    </row>
    <row r="49" spans="1:21" x14ac:dyDescent="0.55000000000000004">
      <c r="A49" t="s">
        <v>10</v>
      </c>
      <c r="B49" s="1" t="s">
        <v>61</v>
      </c>
      <c r="C49" t="s">
        <v>11</v>
      </c>
      <c r="D49">
        <f t="shared" si="3"/>
        <v>2656</v>
      </c>
      <c r="E49">
        <v>1356</v>
      </c>
      <c r="F49">
        <v>1300</v>
      </c>
      <c r="G49" t="s">
        <v>76</v>
      </c>
      <c r="H49">
        <f>ABS(分析結果[[#This Row],[after_change]]-分析結果[[#This Row],[before_change]])</f>
        <v>33.048113103670403</v>
      </c>
      <c r="I49">
        <v>8438.9101749097808</v>
      </c>
      <c r="J49">
        <v>8405.8620618061104</v>
      </c>
      <c r="K49" t="s">
        <v>58</v>
      </c>
      <c r="L49">
        <v>1</v>
      </c>
      <c r="M49" t="s">
        <v>81</v>
      </c>
      <c r="O49" t="s">
        <v>23</v>
      </c>
      <c r="P49" t="s">
        <v>79</v>
      </c>
      <c r="U49">
        <v>1</v>
      </c>
    </row>
    <row r="50" spans="1:21" x14ac:dyDescent="0.55000000000000004">
      <c r="A50" t="s">
        <v>19</v>
      </c>
      <c r="B50" s="1" t="s">
        <v>61</v>
      </c>
      <c r="C50" t="s">
        <v>11</v>
      </c>
      <c r="D50">
        <f t="shared" si="3"/>
        <v>2656</v>
      </c>
      <c r="E50">
        <v>1356</v>
      </c>
      <c r="F50">
        <v>1300</v>
      </c>
      <c r="G50" t="s">
        <v>76</v>
      </c>
      <c r="H50">
        <f>ABS(分析結果[[#This Row],[after_change]]-分析結果[[#This Row],[before_change]])</f>
        <v>33.048113103670403</v>
      </c>
      <c r="I50">
        <v>8438.9101749097808</v>
      </c>
      <c r="J50">
        <v>8405.8620618061104</v>
      </c>
      <c r="K50" t="s">
        <v>59</v>
      </c>
      <c r="L50">
        <v>1</v>
      </c>
      <c r="M50" t="s">
        <v>83</v>
      </c>
      <c r="O50" t="s">
        <v>27</v>
      </c>
      <c r="P50" t="s">
        <v>78</v>
      </c>
      <c r="U50">
        <v>1</v>
      </c>
    </row>
    <row r="51" spans="1:21" x14ac:dyDescent="0.55000000000000004">
      <c r="A51" t="s">
        <v>19</v>
      </c>
      <c r="B51" s="1" t="s">
        <v>62</v>
      </c>
      <c r="C51" t="s">
        <v>12</v>
      </c>
      <c r="D51">
        <f t="shared" si="3"/>
        <v>396</v>
      </c>
      <c r="E51">
        <v>259</v>
      </c>
      <c r="F51">
        <v>137</v>
      </c>
      <c r="G51" t="s">
        <v>77</v>
      </c>
      <c r="H51">
        <f>ABS(分析結果[[#This Row],[after_change]]-分析結果[[#This Row],[before_change]])</f>
        <v>3</v>
      </c>
      <c r="I51">
        <v>12</v>
      </c>
      <c r="J51">
        <v>15</v>
      </c>
      <c r="K51" t="s">
        <v>67</v>
      </c>
      <c r="L51">
        <v>0</v>
      </c>
      <c r="U51" t="s">
        <v>86</v>
      </c>
    </row>
    <row r="52" spans="1:21" x14ac:dyDescent="0.55000000000000004">
      <c r="A52" t="s">
        <v>19</v>
      </c>
      <c r="B52" s="1" t="s">
        <v>62</v>
      </c>
      <c r="C52" t="s">
        <v>12</v>
      </c>
      <c r="D52">
        <f t="shared" si="3"/>
        <v>396</v>
      </c>
      <c r="E52">
        <v>259</v>
      </c>
      <c r="F52">
        <v>137</v>
      </c>
      <c r="G52" t="s">
        <v>77</v>
      </c>
      <c r="H52">
        <f>ABS(分析結果[[#This Row],[after_change]]-分析結果[[#This Row],[before_change]])</f>
        <v>3</v>
      </c>
      <c r="I52">
        <v>12</v>
      </c>
      <c r="J52">
        <v>15</v>
      </c>
      <c r="K52" t="s">
        <v>66</v>
      </c>
      <c r="L52">
        <v>0</v>
      </c>
      <c r="U52" t="s">
        <v>86</v>
      </c>
    </row>
    <row r="53" spans="1:21" x14ac:dyDescent="0.55000000000000004">
      <c r="A53" t="s">
        <v>10</v>
      </c>
      <c r="B53" t="s">
        <v>61</v>
      </c>
      <c r="C53" t="s">
        <v>12</v>
      </c>
      <c r="D53">
        <f t="shared" si="3"/>
        <v>396</v>
      </c>
      <c r="E53">
        <v>259</v>
      </c>
      <c r="F53">
        <v>137</v>
      </c>
      <c r="G53" t="s">
        <v>77</v>
      </c>
      <c r="H53">
        <f>ABS(分析結果[[#This Row],[after_change]]-分析結果[[#This Row],[before_change]])</f>
        <v>876.27344635221925</v>
      </c>
      <c r="I53">
        <v>8405.8620618061104</v>
      </c>
      <c r="J53">
        <v>9282.1355081583297</v>
      </c>
      <c r="K53" t="s">
        <v>67</v>
      </c>
      <c r="L53">
        <v>0</v>
      </c>
      <c r="U53" t="s">
        <v>86</v>
      </c>
    </row>
    <row r="54" spans="1:21" x14ac:dyDescent="0.55000000000000004">
      <c r="A54" t="s">
        <v>10</v>
      </c>
      <c r="B54" t="s">
        <v>61</v>
      </c>
      <c r="C54" t="s">
        <v>12</v>
      </c>
      <c r="D54">
        <f t="shared" si="3"/>
        <v>396</v>
      </c>
      <c r="E54">
        <v>259</v>
      </c>
      <c r="F54">
        <v>137</v>
      </c>
      <c r="G54" t="s">
        <v>77</v>
      </c>
      <c r="H54">
        <f>ABS(分析結果[[#This Row],[after_change]]-分析結果[[#This Row],[before_change]])</f>
        <v>876.27344635221925</v>
      </c>
      <c r="I54">
        <v>8405.8620618061104</v>
      </c>
      <c r="J54">
        <v>9282.1355081583297</v>
      </c>
      <c r="K54" t="s">
        <v>66</v>
      </c>
      <c r="L54">
        <v>0</v>
      </c>
      <c r="U54" t="s">
        <v>86</v>
      </c>
    </row>
    <row r="55" spans="1:21" x14ac:dyDescent="0.55000000000000004">
      <c r="A55" t="s">
        <v>14</v>
      </c>
      <c r="B55" s="1" t="s">
        <v>61</v>
      </c>
      <c r="C55" t="s">
        <v>15</v>
      </c>
      <c r="D55">
        <f t="shared" si="3"/>
        <v>520</v>
      </c>
      <c r="E55">
        <v>434</v>
      </c>
      <c r="F55">
        <v>86</v>
      </c>
      <c r="G55" t="s">
        <v>77</v>
      </c>
      <c r="H55">
        <f>ABS(分析結果[[#This Row],[after_change]]-分析結果[[#This Row],[before_change]])</f>
        <v>1.6796246509002231</v>
      </c>
      <c r="I55">
        <v>10743.297582064601</v>
      </c>
      <c r="J55">
        <v>10744.977206715501</v>
      </c>
      <c r="K55" t="s">
        <v>60</v>
      </c>
      <c r="L55">
        <v>1</v>
      </c>
      <c r="M55" t="s">
        <v>81</v>
      </c>
      <c r="O55" t="s">
        <v>30</v>
      </c>
      <c r="P55" t="s">
        <v>79</v>
      </c>
      <c r="U55">
        <v>1</v>
      </c>
    </row>
    <row r="56" spans="1:21" x14ac:dyDescent="0.55000000000000004">
      <c r="A56" t="s">
        <v>20</v>
      </c>
      <c r="B56" s="1" t="s">
        <v>62</v>
      </c>
      <c r="C56" t="s">
        <v>7</v>
      </c>
      <c r="D56">
        <f t="shared" si="3"/>
        <v>813</v>
      </c>
      <c r="E56">
        <v>103</v>
      </c>
      <c r="F56">
        <v>710</v>
      </c>
      <c r="G56" t="s">
        <v>77</v>
      </c>
      <c r="H56">
        <f>ABS(分析結果[[#This Row],[after_change]]-分析結果[[#This Row],[before_change]])</f>
        <v>1</v>
      </c>
      <c r="I56">
        <v>16</v>
      </c>
      <c r="J56">
        <v>17</v>
      </c>
      <c r="K56" s="2" t="s">
        <v>68</v>
      </c>
      <c r="L56">
        <v>0</v>
      </c>
      <c r="U56" t="s">
        <v>86</v>
      </c>
    </row>
    <row r="57" spans="1:21" x14ac:dyDescent="0.55000000000000004">
      <c r="A57" t="s">
        <v>14</v>
      </c>
      <c r="B57" s="1" t="s">
        <v>71</v>
      </c>
      <c r="C57" t="s">
        <v>7</v>
      </c>
      <c r="D57">
        <f t="shared" si="3"/>
        <v>813</v>
      </c>
      <c r="E57">
        <v>103</v>
      </c>
      <c r="F57">
        <v>710</v>
      </c>
      <c r="G57" t="s">
        <v>77</v>
      </c>
      <c r="H57">
        <f>ABS(分析結果[[#This Row],[after_change]]-分析結果[[#This Row],[before_change]])</f>
        <v>2</v>
      </c>
      <c r="I57">
        <v>405</v>
      </c>
      <c r="J57">
        <v>407</v>
      </c>
      <c r="K57" t="s">
        <v>73</v>
      </c>
      <c r="L57">
        <v>0</v>
      </c>
      <c r="U57" t="s">
        <v>86</v>
      </c>
    </row>
    <row r="58" spans="1:21" x14ac:dyDescent="0.55000000000000004">
      <c r="A58" t="s">
        <v>14</v>
      </c>
      <c r="B58" s="1" t="s">
        <v>62</v>
      </c>
      <c r="C58" t="s">
        <v>4</v>
      </c>
      <c r="D58">
        <f t="shared" si="3"/>
        <v>402</v>
      </c>
      <c r="E58">
        <v>268</v>
      </c>
      <c r="F58">
        <v>134</v>
      </c>
      <c r="G58" t="s">
        <v>76</v>
      </c>
      <c r="H58">
        <f>ABS(分析結果[[#This Row],[after_change]]-分析結果[[#This Row],[before_change]])</f>
        <v>1</v>
      </c>
      <c r="I58">
        <v>17</v>
      </c>
      <c r="J58">
        <v>16</v>
      </c>
      <c r="K58" t="s">
        <v>66</v>
      </c>
      <c r="L58">
        <v>0</v>
      </c>
      <c r="U58" t="s">
        <v>86</v>
      </c>
    </row>
    <row r="59" spans="1:21" x14ac:dyDescent="0.55000000000000004">
      <c r="A59" t="s">
        <v>20</v>
      </c>
      <c r="B59" t="s">
        <v>61</v>
      </c>
      <c r="C59" t="s">
        <v>7</v>
      </c>
      <c r="D59">
        <f t="shared" si="3"/>
        <v>813</v>
      </c>
      <c r="E59">
        <v>103</v>
      </c>
      <c r="F59">
        <v>710</v>
      </c>
      <c r="G59" t="s">
        <v>76</v>
      </c>
      <c r="H59">
        <f>ABS(分析結果[[#This Row],[after_change]]-分析結果[[#This Row],[before_change]])</f>
        <v>26.510599181001453</v>
      </c>
      <c r="I59">
        <v>10744.977206715501</v>
      </c>
      <c r="J59">
        <v>10718.466607534499</v>
      </c>
      <c r="K59" t="s">
        <v>52</v>
      </c>
      <c r="L59">
        <v>0</v>
      </c>
      <c r="M59" t="s">
        <v>70</v>
      </c>
      <c r="O59" t="s">
        <v>23</v>
      </c>
      <c r="P59" t="s">
        <v>79</v>
      </c>
      <c r="U59" t="s">
        <v>86</v>
      </c>
    </row>
    <row r="60" spans="1:21" x14ac:dyDescent="0.55000000000000004">
      <c r="A60" t="s">
        <v>20</v>
      </c>
      <c r="B60" t="s">
        <v>61</v>
      </c>
      <c r="C60" t="s">
        <v>4</v>
      </c>
      <c r="D60">
        <f t="shared" si="3"/>
        <v>402</v>
      </c>
      <c r="E60">
        <v>268</v>
      </c>
      <c r="F60">
        <v>134</v>
      </c>
      <c r="G60" t="s">
        <v>76</v>
      </c>
      <c r="H60">
        <f>ABS(分析結果[[#This Row],[after_change]]-分析結果[[#This Row],[before_change]])</f>
        <v>914.97095486970102</v>
      </c>
      <c r="I60">
        <v>11628.0101536537</v>
      </c>
      <c r="J60">
        <v>10713.039198783999</v>
      </c>
      <c r="K60" t="s">
        <v>66</v>
      </c>
      <c r="L60">
        <v>0</v>
      </c>
      <c r="U60" t="s">
        <v>86</v>
      </c>
    </row>
    <row r="61" spans="1:21" x14ac:dyDescent="0.55000000000000004">
      <c r="A61" t="s">
        <v>20</v>
      </c>
      <c r="B61" t="s">
        <v>61</v>
      </c>
      <c r="C61" t="s">
        <v>3</v>
      </c>
      <c r="D61">
        <f t="shared" si="3"/>
        <v>277</v>
      </c>
      <c r="E61">
        <v>195</v>
      </c>
      <c r="F61">
        <v>82</v>
      </c>
      <c r="G61" t="s">
        <v>77</v>
      </c>
      <c r="H61">
        <f>ABS(分析結果[[#This Row],[after_change]]-分析結果[[#This Row],[before_change]])</f>
        <v>914.97095486970102</v>
      </c>
      <c r="I61">
        <v>10718.466607534499</v>
      </c>
      <c r="J61">
        <v>11633.4375624042</v>
      </c>
      <c r="K61" t="s">
        <v>66</v>
      </c>
      <c r="L61">
        <v>0</v>
      </c>
      <c r="U61" t="s">
        <v>86</v>
      </c>
    </row>
    <row r="62" spans="1:21" x14ac:dyDescent="0.55000000000000004">
      <c r="A62" t="s">
        <v>20</v>
      </c>
      <c r="B62" t="s">
        <v>61</v>
      </c>
      <c r="C62" t="s">
        <v>7</v>
      </c>
      <c r="D62">
        <f t="shared" si="3"/>
        <v>813</v>
      </c>
      <c r="E62">
        <v>103</v>
      </c>
      <c r="F62">
        <v>710</v>
      </c>
      <c r="G62" t="s">
        <v>76</v>
      </c>
      <c r="H62">
        <f>ABS(分析結果[[#This Row],[after_change]]-分析結果[[#This Row],[before_change]])</f>
        <v>26.510599181001453</v>
      </c>
      <c r="I62">
        <v>10744.977206715501</v>
      </c>
      <c r="J62">
        <v>10718.466607534499</v>
      </c>
      <c r="K62" t="s">
        <v>21</v>
      </c>
      <c r="L62">
        <v>0</v>
      </c>
      <c r="M62" t="s">
        <v>70</v>
      </c>
      <c r="O62" t="s">
        <v>23</v>
      </c>
      <c r="P62" t="s">
        <v>79</v>
      </c>
      <c r="U62" t="s">
        <v>86</v>
      </c>
    </row>
    <row r="63" spans="1:21" x14ac:dyDescent="0.55000000000000004">
      <c r="A63" t="s">
        <v>14</v>
      </c>
      <c r="B63" t="s">
        <v>61</v>
      </c>
      <c r="C63" t="s">
        <v>7</v>
      </c>
      <c r="D63">
        <f t="shared" si="3"/>
        <v>813</v>
      </c>
      <c r="E63">
        <v>103</v>
      </c>
      <c r="F63">
        <v>710</v>
      </c>
      <c r="G63" t="s">
        <v>76</v>
      </c>
      <c r="H63">
        <f>ABS(分析結果[[#This Row],[after_change]]-分析結果[[#This Row],[before_change]])</f>
        <v>26.510599181001453</v>
      </c>
      <c r="I63">
        <v>10744.977206715501</v>
      </c>
      <c r="J63">
        <v>10718.466607534499</v>
      </c>
      <c r="K63" t="s">
        <v>60</v>
      </c>
      <c r="L63">
        <v>0</v>
      </c>
      <c r="M63" t="s">
        <v>70</v>
      </c>
      <c r="O63" t="s">
        <v>23</v>
      </c>
      <c r="P63" t="s">
        <v>79</v>
      </c>
      <c r="U63" t="s">
        <v>86</v>
      </c>
    </row>
    <row r="64" spans="1:21" x14ac:dyDescent="0.55000000000000004">
      <c r="A64" t="s">
        <v>14</v>
      </c>
      <c r="B64" t="s">
        <v>61</v>
      </c>
      <c r="C64" t="s">
        <v>16</v>
      </c>
      <c r="D64">
        <f t="shared" si="3"/>
        <v>133</v>
      </c>
      <c r="E64">
        <v>71</v>
      </c>
      <c r="F64">
        <v>62</v>
      </c>
      <c r="G64" t="s">
        <v>76</v>
      </c>
      <c r="H64">
        <f>ABS(分析結果[[#This Row],[after_change]]-分析結果[[#This Row],[before_change]])</f>
        <v>5.4274087505000352</v>
      </c>
      <c r="I64">
        <v>11633.4375624042</v>
      </c>
      <c r="J64">
        <v>11628.0101536537</v>
      </c>
      <c r="K64" t="s">
        <v>69</v>
      </c>
      <c r="L64">
        <v>0</v>
      </c>
      <c r="M64" t="s">
        <v>50</v>
      </c>
      <c r="O64" t="s">
        <v>28</v>
      </c>
      <c r="P64" t="s">
        <v>79</v>
      </c>
      <c r="R64" t="s">
        <v>29</v>
      </c>
      <c r="S64" t="s">
        <v>80</v>
      </c>
      <c r="U64" t="s">
        <v>86</v>
      </c>
    </row>
    <row r="65" spans="1:21" x14ac:dyDescent="0.55000000000000004">
      <c r="A65" t="s">
        <v>20</v>
      </c>
      <c r="B65" t="s">
        <v>61</v>
      </c>
      <c r="C65" t="s">
        <v>7</v>
      </c>
      <c r="D65">
        <f t="shared" si="3"/>
        <v>813</v>
      </c>
      <c r="E65">
        <v>103</v>
      </c>
      <c r="F65">
        <v>710</v>
      </c>
      <c r="G65" t="s">
        <v>76</v>
      </c>
      <c r="H65">
        <f>ABS(分析結果[[#This Row],[after_change]]-分析結果[[#This Row],[before_change]])</f>
        <v>26.510599181001453</v>
      </c>
      <c r="I65">
        <v>10744.977206715501</v>
      </c>
      <c r="J65">
        <v>10718.466607534499</v>
      </c>
      <c r="K65" t="s">
        <v>68</v>
      </c>
      <c r="L65">
        <v>0</v>
      </c>
      <c r="U65" t="s">
        <v>86</v>
      </c>
    </row>
    <row r="66" spans="1:21" x14ac:dyDescent="0.55000000000000004">
      <c r="A66" t="s">
        <v>14</v>
      </c>
      <c r="B66" s="1" t="s">
        <v>71</v>
      </c>
      <c r="C66" t="s">
        <v>3</v>
      </c>
      <c r="D66">
        <f t="shared" si="3"/>
        <v>277</v>
      </c>
      <c r="E66">
        <v>195</v>
      </c>
      <c r="F66">
        <v>82</v>
      </c>
      <c r="G66" t="s">
        <v>77</v>
      </c>
      <c r="H66">
        <f>ABS(分析結果[[#This Row],[after_change]]-分析結果[[#This Row],[before_change]])</f>
        <v>21</v>
      </c>
      <c r="I66">
        <v>407</v>
      </c>
      <c r="J66">
        <v>428</v>
      </c>
      <c r="K66" t="s">
        <v>75</v>
      </c>
      <c r="L66">
        <v>0</v>
      </c>
      <c r="U66" t="s">
        <v>86</v>
      </c>
    </row>
    <row r="67" spans="1:21" x14ac:dyDescent="0.55000000000000004">
      <c r="A67" t="s">
        <v>14</v>
      </c>
      <c r="B67" s="1" t="s">
        <v>71</v>
      </c>
      <c r="C67" t="s">
        <v>16</v>
      </c>
      <c r="D67">
        <f t="shared" si="3"/>
        <v>133</v>
      </c>
      <c r="E67">
        <v>71</v>
      </c>
      <c r="F67">
        <v>62</v>
      </c>
      <c r="G67" t="s">
        <v>77</v>
      </c>
      <c r="H67">
        <f>ABS(分析結果[[#This Row],[after_change]]-分析結果[[#This Row],[before_change]])</f>
        <v>26</v>
      </c>
      <c r="I67">
        <v>428</v>
      </c>
      <c r="J67">
        <v>454</v>
      </c>
      <c r="K67" t="s">
        <v>75</v>
      </c>
      <c r="L67">
        <v>0</v>
      </c>
      <c r="U67" t="s">
        <v>86</v>
      </c>
    </row>
    <row r="68" spans="1:21" x14ac:dyDescent="0.55000000000000004">
      <c r="B68" s="1"/>
    </row>
  </sheetData>
  <sheetProtection sort="0" autoFilter="0" pivotTables="0"/>
  <sortState xmlns:xlrd2="http://schemas.microsoft.com/office/spreadsheetml/2017/richdata2" ref="A2:T67">
    <sortCondition ref="B3:B67"/>
  </sortState>
  <phoneticPr fontId="1"/>
  <dataValidations count="4">
    <dataValidation type="decimal" operator="greaterThan" allowBlank="1" showInputMessage="1" showErrorMessage="1" sqref="I2:J1048576" xr:uid="{882D5D14-C8AC-41EE-B33D-A233CE713A0D}">
      <formula1>0</formula1>
    </dataValidation>
    <dataValidation operator="greaterThan" allowBlank="1" showInputMessage="1" showErrorMessage="1" sqref="H1:H1048576" xr:uid="{9C2A9A4B-9AD7-4D13-B05F-BA7E7F964F3A}"/>
    <dataValidation type="list" allowBlank="1" showInputMessage="1" showErrorMessage="1" sqref="L2:L1048576" xr:uid="{A55377B6-98FA-4A03-A8D1-933B4B5E134B}">
      <formula1>"0, 1"</formula1>
    </dataValidation>
    <dataValidation type="list" allowBlank="1" showInputMessage="1" showErrorMessage="1" sqref="U68:V1048576 T2:T1048576 R68:R1048576 Q2:Q1048576" xr:uid="{0D11C3FA-C120-49A7-8E21-69F0B3130609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雄希</dc:creator>
  <cp:lastModifiedBy>牧野　雄希</cp:lastModifiedBy>
  <dcterms:created xsi:type="dcterms:W3CDTF">2025-05-23T06:45:42Z</dcterms:created>
  <dcterms:modified xsi:type="dcterms:W3CDTF">2026-08-28T08:16:34Z</dcterms:modified>
</cp:coreProperties>
</file>