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kinoyuuki\Desktop\SANER2026\Data\"/>
    </mc:Choice>
  </mc:AlternateContent>
  <xr:revisionPtr revIDLastSave="0" documentId="13_ncr:1_{54426023-1285-4623-A589-C5C5960C4700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G15" i="1"/>
  <c r="M23" i="1"/>
  <c r="O23" i="1" s="1"/>
  <c r="M24" i="1"/>
  <c r="M25" i="1"/>
  <c r="M26" i="1"/>
  <c r="M27" i="1"/>
  <c r="M28" i="1"/>
  <c r="M22" i="1"/>
  <c r="N22" i="1"/>
  <c r="N23" i="1"/>
  <c r="I23" i="1"/>
  <c r="H22" i="1"/>
  <c r="H23" i="1"/>
  <c r="G22" i="1"/>
  <c r="G23" i="1"/>
  <c r="N16" i="1"/>
  <c r="N17" i="1"/>
  <c r="N18" i="1"/>
  <c r="N19" i="1"/>
  <c r="N20" i="1"/>
  <c r="N21" i="1"/>
  <c r="N24" i="1"/>
  <c r="N25" i="1"/>
  <c r="N26" i="1"/>
  <c r="N27" i="1"/>
  <c r="N28" i="1"/>
  <c r="O12" i="1"/>
  <c r="N15" i="1"/>
  <c r="N13" i="1"/>
  <c r="M16" i="1"/>
  <c r="M17" i="1"/>
  <c r="O17" i="1" s="1"/>
  <c r="M18" i="1"/>
  <c r="O18" i="1" s="1"/>
  <c r="M19" i="1"/>
  <c r="M20" i="1"/>
  <c r="O20" i="1" s="1"/>
  <c r="M21" i="1"/>
  <c r="O21" i="1" s="1"/>
  <c r="M15" i="1"/>
  <c r="M13" i="1"/>
  <c r="H15" i="1"/>
  <c r="H16" i="1"/>
  <c r="H17" i="1"/>
  <c r="H18" i="1"/>
  <c r="I18" i="1" s="1"/>
  <c r="H19" i="1"/>
  <c r="H20" i="1"/>
  <c r="H21" i="1"/>
  <c r="H24" i="1"/>
  <c r="H25" i="1"/>
  <c r="H26" i="1"/>
  <c r="H27" i="1"/>
  <c r="H28" i="1"/>
  <c r="G16" i="1"/>
  <c r="G17" i="1"/>
  <c r="I17" i="1" s="1"/>
  <c r="G18" i="1"/>
  <c r="G19" i="1"/>
  <c r="G20" i="1"/>
  <c r="G21" i="1"/>
  <c r="G24" i="1"/>
  <c r="G25" i="1"/>
  <c r="G26" i="1"/>
  <c r="G27" i="1"/>
  <c r="G28" i="1"/>
  <c r="N3" i="1"/>
  <c r="N4" i="1"/>
  <c r="N5" i="1"/>
  <c r="N8" i="1"/>
  <c r="N10" i="1"/>
  <c r="N11" i="1"/>
  <c r="N12" i="1"/>
  <c r="N2" i="1"/>
  <c r="M3" i="1"/>
  <c r="M4" i="1"/>
  <c r="M5" i="1"/>
  <c r="M8" i="1"/>
  <c r="M10" i="1"/>
  <c r="M11" i="1"/>
  <c r="M12" i="1"/>
  <c r="M2" i="1"/>
  <c r="H3" i="1"/>
  <c r="H4" i="1"/>
  <c r="H5" i="1"/>
  <c r="H6" i="1"/>
  <c r="H7" i="1"/>
  <c r="H8" i="1"/>
  <c r="H9" i="1"/>
  <c r="H10" i="1"/>
  <c r="H11" i="1"/>
  <c r="H13" i="1"/>
  <c r="H14" i="1"/>
  <c r="H2" i="1"/>
  <c r="G3" i="1"/>
  <c r="G4" i="1"/>
  <c r="G5" i="1"/>
  <c r="G6" i="1"/>
  <c r="G7" i="1"/>
  <c r="G8" i="1"/>
  <c r="G9" i="1"/>
  <c r="G10" i="1"/>
  <c r="G11" i="1"/>
  <c r="G13" i="1"/>
  <c r="G14" i="1"/>
  <c r="G2" i="1"/>
  <c r="I2" i="1" s="1"/>
  <c r="O28" i="1" l="1"/>
  <c r="I28" i="1"/>
  <c r="O27" i="1"/>
  <c r="I27" i="1"/>
  <c r="O26" i="1"/>
  <c r="I26" i="1"/>
  <c r="I25" i="1"/>
  <c r="O25" i="1"/>
  <c r="O24" i="1"/>
  <c r="I24" i="1"/>
  <c r="O22" i="1"/>
  <c r="I22" i="1"/>
  <c r="I7" i="1"/>
  <c r="I13" i="1"/>
  <c r="I21" i="1"/>
  <c r="I20" i="1"/>
  <c r="O19" i="1"/>
  <c r="I16" i="1"/>
  <c r="O16" i="1"/>
  <c r="O15" i="1"/>
  <c r="I15" i="1"/>
  <c r="I4" i="1"/>
  <c r="I9" i="1"/>
  <c r="O5" i="1"/>
  <c r="O13" i="1"/>
  <c r="O11" i="1"/>
  <c r="I14" i="1"/>
  <c r="I11" i="1"/>
  <c r="I10" i="1"/>
  <c r="I8" i="1"/>
  <c r="I6" i="1"/>
  <c r="I5" i="1"/>
  <c r="O4" i="1"/>
  <c r="O3" i="1"/>
  <c r="I3" i="1"/>
  <c r="O10" i="1"/>
  <c r="O8" i="1"/>
  <c r="O2" i="1"/>
</calcChain>
</file>

<file path=xl/sharedStrings.xml><?xml version="1.0" encoding="utf-8"?>
<sst xmlns="http://schemas.openxmlformats.org/spreadsheetml/2006/main" count="104" uniqueCount="75">
  <si>
    <t>repository</t>
  </si>
  <si>
    <t>Test name</t>
  </si>
  <si>
    <t>Autocosts</t>
  </si>
  <si>
    <t>validateFrontend</t>
  </si>
  <si>
    <t>Glados</t>
  </si>
  <si>
    <t>001-events</t>
  </si>
  <si>
    <t>002-topics</t>
  </si>
  <si>
    <t>Timeoff</t>
  </si>
  <si>
    <t>Book the very last day of year to be a holiday | Register new company</t>
    <phoneticPr fontId="1"/>
  </si>
  <si>
    <t>CRUD for bank holidays | Add new bank holiday to be in the end of the list</t>
    <phoneticPr fontId="1"/>
  </si>
  <si>
    <t>Auto approvals | Login as admin user A</t>
    <phoneticPr fontId="1"/>
  </si>
  <si>
    <t>Auto approvals | Revoke request</t>
    <phoneticPr fontId="1"/>
  </si>
  <si>
    <t>Basic audit for user changes | Enable API integration and capture the token value</t>
    <phoneticPr fontId="1"/>
  </si>
  <si>
    <t>Basic user specific schedule | Ensure that user A started at the begining of current year</t>
    <phoneticPr fontId="1"/>
  </si>
  <si>
    <t>Basic user specific schedule | Logout from user B</t>
    <phoneticPr fontId="1"/>
  </si>
  <si>
    <t>Check that values for new columns are shown only for employess currently login user can supervise | Login as user C</t>
    <phoneticPr fontId="1"/>
  </si>
  <si>
    <t>Check the client side logic to facilitate filling new absence form | Update FROM to be in past and make sure TO is stays unchanged</t>
    <phoneticPr fontId="1"/>
  </si>
  <si>
    <t>Leave type limits for next year: 2026 | Logout from regular user session</t>
    <phoneticPr fontId="1"/>
  </si>
  <si>
    <t>Click TP</t>
    <phoneticPr fontId="1"/>
  </si>
  <si>
    <t>Click FP</t>
    <phoneticPr fontId="1"/>
  </si>
  <si>
    <t>Click FN</t>
    <phoneticPr fontId="1"/>
  </si>
  <si>
    <t>Keystroke TP</t>
    <phoneticPr fontId="1"/>
  </si>
  <si>
    <t>Keystroke FP</t>
    <phoneticPr fontId="1"/>
  </si>
  <si>
    <t>Keystroke FN</t>
    <phoneticPr fontId="1"/>
  </si>
  <si>
    <t>Click Precision</t>
    <phoneticPr fontId="1"/>
  </si>
  <si>
    <t>Click Recall</t>
    <phoneticPr fontId="1"/>
  </si>
  <si>
    <t>Click F1</t>
    <phoneticPr fontId="1"/>
  </si>
  <si>
    <t>Keystroke Precision</t>
    <phoneticPr fontId="1"/>
  </si>
  <si>
    <t>Keystroke Recall</t>
    <phoneticPr fontId="1"/>
  </si>
  <si>
    <t>Keystroke F1</t>
    <phoneticPr fontId="1"/>
  </si>
  <si>
    <t>NaN</t>
    <phoneticPr fontId="1"/>
  </si>
  <si>
    <t>Test Case</t>
    <phoneticPr fontId="1"/>
  </si>
  <si>
    <t>Frontend Layout Verification</t>
  </si>
  <si>
    <t>Multi-modal Reordering</t>
  </si>
  <si>
    <t>Hierarchical Topic &amp; Event</t>
    <phoneticPr fontId="1"/>
  </si>
  <si>
    <t>Admin Approval Authentication</t>
  </si>
  <si>
    <t>State-based Request Revocation</t>
  </si>
  <si>
    <t>API Token Generation &amp; Capture</t>
    <phoneticPr fontId="1"/>
  </si>
  <si>
    <t>Historical Start Date Configuration</t>
  </si>
  <si>
    <t>Multi-user Session Termination</t>
  </si>
  <si>
    <t>Context-aware Registration</t>
  </si>
  <si>
    <t>RBAC Column Filtering</t>
  </si>
  <si>
    <t>Asymmetric Date Range</t>
  </si>
  <si>
    <t>CRUD for Holiday Management</t>
  </si>
  <si>
    <t>Post-Audit Session Cleanup</t>
  </si>
  <si>
    <t>Matrix</t>
    <phoneticPr fontId="1"/>
  </si>
  <si>
    <t>Example Spec | dashboard</t>
    <phoneticPr fontId="1"/>
  </si>
  <si>
    <t>Uptime</t>
    <phoneticPr fontId="1"/>
  </si>
  <si>
    <t>Put call in PIP</t>
    <phoneticPr fontId="1"/>
  </si>
  <si>
    <t>Error when pre-warming the focus are caught by the ErrorBoundary</t>
    <phoneticPr fontId="1"/>
  </si>
  <si>
    <t>Should show error screen if call creation is restricted</t>
    <phoneticPr fontId="1"/>
  </si>
  <si>
    <t>Should show error screen if fails to get JWT token</t>
    <phoneticPr fontId="1"/>
  </si>
  <si>
    <t>Domain Expiry Notification | TLD enabled for new monitor</t>
    <phoneticPr fontId="1"/>
  </si>
  <si>
    <t>PIP Feature</t>
    <phoneticPr fontId="1"/>
  </si>
  <si>
    <t>Error Handling</t>
    <phoneticPr fontId="1"/>
  </si>
  <si>
    <t>Call Restriction</t>
    <phoneticPr fontId="1"/>
  </si>
  <si>
    <t>Authentication Error</t>
    <phoneticPr fontId="1"/>
  </si>
  <si>
    <t>Friendly Name Tests | default friendly name</t>
    <phoneticPr fontId="1"/>
  </si>
  <si>
    <t>Example Spec | database is reset after previous test</t>
    <phoneticPr fontId="1"/>
  </si>
  <si>
    <t>Friendly Name Tests | custom friendly name</t>
    <phoneticPr fontId="1"/>
  </si>
  <si>
    <t>Monitor Form | condition ui</t>
    <phoneticPr fontId="1"/>
  </si>
  <si>
    <t>Monitor Form | failing condition</t>
    <phoneticPr fontId="1"/>
  </si>
  <si>
    <t>Monitor Form | successful condition</t>
    <phoneticPr fontId="1"/>
  </si>
  <si>
    <t>Uptime Kuma Setup | logout</t>
    <phoneticPr fontId="1"/>
  </si>
  <si>
    <t>Uptime Kuma Setup | setup admin</t>
    <phoneticPr fontId="1"/>
  </si>
  <si>
    <t>Domain Notification</t>
    <phoneticPr fontId="1"/>
  </si>
  <si>
    <t>Example Dashboard</t>
    <phoneticPr fontId="1"/>
  </si>
  <si>
    <t>Example Database</t>
    <phoneticPr fontId="1"/>
  </si>
  <si>
    <t>Friendly Name Custom</t>
    <phoneticPr fontId="1"/>
  </si>
  <si>
    <t>Friendly Name Default</t>
    <phoneticPr fontId="1"/>
  </si>
  <si>
    <t>Monitor Form Condition</t>
    <phoneticPr fontId="1"/>
  </si>
  <si>
    <t>Monitor Form Failing Condition</t>
    <phoneticPr fontId="1"/>
  </si>
  <si>
    <t>Monitor Form Successful Condition</t>
    <phoneticPr fontId="1"/>
  </si>
  <si>
    <t>Setup Logout</t>
    <phoneticPr fontId="1"/>
  </si>
  <si>
    <t>Setup admin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</si>
</sst>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5"/>
      <color rgb="FFFFFFFF"/>
      <name val="游ゴシック"/>
      <family val="3"/>
      <charset val="128"/>
    </font>
    <font>
      <sz val="15"/>
      <color rgb="FF000000"/>
      <name val="游ゴシック"/>
      <family val="3"/>
      <charset val="128"/>
    </font>
    <font>
      <sz val="16"/>
      <color rgb="FF000000"/>
      <name val="游ゴシック"/>
      <family val="3"/>
      <charset val="128"/>
    </font>
    <font>
      <sz val="15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4" borderId="0" xfId="0" applyFont="1" applyFill="1"/>
    <xf numFmtId="0" fontId="3" fillId="4" borderId="1" xfId="0" applyFont="1" applyFill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left" vertical="center" wrapText="1" readingOrder="1"/>
    </xf>
    <xf numFmtId="0" fontId="3" fillId="4" borderId="1" xfId="0" applyFont="1" applyFill="1" applyBorder="1" applyAlignment="1">
      <alignment horizontal="left" vertical="center" wrapText="1" readingOrder="1"/>
    </xf>
    <xf numFmtId="0" fontId="5" fillId="5" borderId="1" xfId="0" applyFont="1" applyFill="1" applyBorder="1"/>
    <xf numFmtId="0" fontId="3" fillId="5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7EAED"/>
      <color rgb="FFCCD2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C1" zoomScale="39" workbookViewId="0">
      <selection activeCell="F25" sqref="F25"/>
    </sheetView>
  </sheetViews>
  <sheetFormatPr defaultRowHeight="18"/>
  <cols>
    <col min="1" max="1" width="19.25" customWidth="1"/>
    <col min="2" max="2" width="44.5" customWidth="1"/>
    <col min="3" max="3" width="161.83203125" customWidth="1"/>
    <col min="4" max="4" width="13.4140625" customWidth="1"/>
    <col min="5" max="5" width="12.6640625" customWidth="1"/>
    <col min="6" max="6" width="13" customWidth="1"/>
    <col min="7" max="8" width="20.4140625" customWidth="1"/>
    <col min="9" max="9" width="22.5" customWidth="1"/>
    <col min="10" max="10" width="20.1640625" customWidth="1"/>
    <col min="11" max="11" width="19.33203125" customWidth="1"/>
    <col min="12" max="12" width="20.4140625" customWidth="1"/>
    <col min="13" max="13" width="27.33203125" customWidth="1"/>
    <col min="14" max="14" width="22.08203125" customWidth="1"/>
    <col min="15" max="15" width="18.1640625" customWidth="1"/>
  </cols>
  <sheetData>
    <row r="1" spans="1:15" ht="21.5" customHeight="1">
      <c r="A1" s="7" t="s">
        <v>0</v>
      </c>
      <c r="B1" s="7" t="s">
        <v>31</v>
      </c>
      <c r="C1" s="7" t="s">
        <v>1</v>
      </c>
      <c r="D1" s="7" t="s">
        <v>18</v>
      </c>
      <c r="E1" s="7" t="s">
        <v>19</v>
      </c>
      <c r="F1" s="7" t="s">
        <v>20</v>
      </c>
      <c r="G1" s="7" t="s">
        <v>24</v>
      </c>
      <c r="H1" s="7" t="s">
        <v>25</v>
      </c>
      <c r="I1" s="7" t="s">
        <v>26</v>
      </c>
      <c r="J1" s="7" t="s">
        <v>21</v>
      </c>
      <c r="K1" s="7" t="s">
        <v>22</v>
      </c>
      <c r="L1" s="7" t="s">
        <v>23</v>
      </c>
      <c r="M1" s="7" t="s">
        <v>27</v>
      </c>
      <c r="N1" s="7" t="s">
        <v>28</v>
      </c>
      <c r="O1" s="7" t="s">
        <v>29</v>
      </c>
    </row>
    <row r="2" spans="1:15" ht="22.5" customHeight="1">
      <c r="A2" s="2" t="s">
        <v>2</v>
      </c>
      <c r="B2" s="3" t="s">
        <v>32</v>
      </c>
      <c r="C2" s="3" t="s">
        <v>3</v>
      </c>
      <c r="D2" s="3">
        <v>23</v>
      </c>
      <c r="E2" s="3">
        <v>0</v>
      </c>
      <c r="F2" s="3">
        <v>0</v>
      </c>
      <c r="G2" s="3">
        <f>D2/(D2+E2)</f>
        <v>1</v>
      </c>
      <c r="H2" s="3">
        <f>D2/(D2+F2)</f>
        <v>1</v>
      </c>
      <c r="I2" s="3">
        <f t="shared" ref="I2:I28" si="0">2*(G2*H2)/(G2+H2)</f>
        <v>1</v>
      </c>
      <c r="J2" s="3">
        <v>67</v>
      </c>
      <c r="K2" s="3">
        <v>0</v>
      </c>
      <c r="L2" s="3">
        <v>0</v>
      </c>
      <c r="M2" s="3">
        <f>J2/(J2+K2)</f>
        <v>1</v>
      </c>
      <c r="N2" s="3">
        <f>J2/(J2+L2)</f>
        <v>1</v>
      </c>
      <c r="O2" s="3">
        <f>2*(M2*N2)/(M2+N2)</f>
        <v>1</v>
      </c>
    </row>
    <row r="3" spans="1:15" ht="24.5" customHeight="1">
      <c r="A3" s="4" t="s">
        <v>4</v>
      </c>
      <c r="B3" s="2" t="s">
        <v>33</v>
      </c>
      <c r="C3" s="2" t="s">
        <v>5</v>
      </c>
      <c r="D3" s="2">
        <v>7</v>
      </c>
      <c r="E3" s="2">
        <v>0</v>
      </c>
      <c r="F3" s="2">
        <v>1</v>
      </c>
      <c r="G3" s="6">
        <f t="shared" ref="G3:G28" si="1">D3/(D3+E3)</f>
        <v>1</v>
      </c>
      <c r="H3" s="6">
        <f t="shared" ref="H3:H28" si="2">D3/(D3+F3)</f>
        <v>0.875</v>
      </c>
      <c r="I3" s="6">
        <f t="shared" si="0"/>
        <v>0.93333333333333335</v>
      </c>
      <c r="J3" s="6">
        <v>401</v>
      </c>
      <c r="K3" s="6">
        <v>0</v>
      </c>
      <c r="L3" s="6">
        <v>9</v>
      </c>
      <c r="M3" s="6">
        <f t="shared" ref="M3:M13" si="3">J3/(J3+K3)</f>
        <v>1</v>
      </c>
      <c r="N3" s="6">
        <f t="shared" ref="N3:N13" si="4">J3/(J3+L3)</f>
        <v>0.97804878048780486</v>
      </c>
      <c r="O3" s="6">
        <f t="shared" ref="O3:O13" si="5">2*(M3*N3)/(M3+N3)</f>
        <v>0.98890258939580766</v>
      </c>
    </row>
    <row r="4" spans="1:15" ht="24" customHeight="1">
      <c r="A4" s="4"/>
      <c r="B4" s="3" t="s">
        <v>34</v>
      </c>
      <c r="C4" s="3" t="s">
        <v>6</v>
      </c>
      <c r="D4" s="3">
        <v>18</v>
      </c>
      <c r="E4" s="3">
        <v>0</v>
      </c>
      <c r="F4" s="3">
        <v>3</v>
      </c>
      <c r="G4" s="3">
        <f t="shared" si="1"/>
        <v>1</v>
      </c>
      <c r="H4" s="3">
        <f t="shared" si="2"/>
        <v>0.8571428571428571</v>
      </c>
      <c r="I4" s="3">
        <f t="shared" si="0"/>
        <v>0.92307692307692302</v>
      </c>
      <c r="J4" s="3">
        <v>462</v>
      </c>
      <c r="K4" s="3">
        <v>0</v>
      </c>
      <c r="L4" s="3">
        <v>17</v>
      </c>
      <c r="M4" s="3">
        <f t="shared" si="3"/>
        <v>1</v>
      </c>
      <c r="N4" s="3">
        <f t="shared" si="4"/>
        <v>0.964509394572025</v>
      </c>
      <c r="O4" s="3">
        <f t="shared" si="5"/>
        <v>0.98193411264612118</v>
      </c>
    </row>
    <row r="5" spans="1:15" ht="25" customHeight="1">
      <c r="A5" s="4" t="s">
        <v>7</v>
      </c>
      <c r="B5" s="2" t="s">
        <v>35</v>
      </c>
      <c r="C5" s="2" t="s">
        <v>10</v>
      </c>
      <c r="D5" s="2">
        <v>2</v>
      </c>
      <c r="E5" s="2">
        <v>0</v>
      </c>
      <c r="F5" s="2">
        <v>0</v>
      </c>
      <c r="G5" s="6">
        <f t="shared" si="1"/>
        <v>1</v>
      </c>
      <c r="H5" s="6">
        <f t="shared" si="2"/>
        <v>1</v>
      </c>
      <c r="I5" s="6">
        <f t="shared" si="0"/>
        <v>1</v>
      </c>
      <c r="J5" s="6">
        <v>28</v>
      </c>
      <c r="K5" s="6">
        <v>0</v>
      </c>
      <c r="L5" s="6">
        <v>0</v>
      </c>
      <c r="M5" s="6">
        <f t="shared" si="3"/>
        <v>1</v>
      </c>
      <c r="N5" s="6">
        <f t="shared" si="4"/>
        <v>1</v>
      </c>
      <c r="O5" s="6">
        <f t="shared" si="5"/>
        <v>1</v>
      </c>
    </row>
    <row r="6" spans="1:15" ht="30.5" customHeight="1">
      <c r="A6" s="4"/>
      <c r="B6" s="3" t="s">
        <v>36</v>
      </c>
      <c r="C6" s="3" t="s">
        <v>11</v>
      </c>
      <c r="D6" s="3">
        <v>1</v>
      </c>
      <c r="E6" s="3">
        <v>0</v>
      </c>
      <c r="F6" s="3">
        <v>0</v>
      </c>
      <c r="G6" s="3">
        <f t="shared" si="1"/>
        <v>1</v>
      </c>
      <c r="H6" s="3">
        <f t="shared" si="2"/>
        <v>1</v>
      </c>
      <c r="I6" s="3">
        <f t="shared" si="0"/>
        <v>1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</row>
    <row r="7" spans="1:15" ht="24" customHeight="1">
      <c r="A7" s="4"/>
      <c r="B7" s="2" t="s">
        <v>37</v>
      </c>
      <c r="C7" s="2" t="s">
        <v>12</v>
      </c>
      <c r="D7" s="2">
        <v>2</v>
      </c>
      <c r="E7" s="2">
        <v>0</v>
      </c>
      <c r="F7" s="2">
        <v>0</v>
      </c>
      <c r="G7" s="6">
        <f t="shared" si="1"/>
        <v>1</v>
      </c>
      <c r="H7" s="6">
        <f t="shared" si="2"/>
        <v>1</v>
      </c>
      <c r="I7" s="6">
        <f t="shared" si="0"/>
        <v>1</v>
      </c>
      <c r="J7" s="6" t="s">
        <v>30</v>
      </c>
      <c r="K7" s="6" t="s">
        <v>30</v>
      </c>
      <c r="L7" s="6" t="s">
        <v>30</v>
      </c>
      <c r="M7" s="6" t="s">
        <v>30</v>
      </c>
      <c r="N7" s="6" t="s">
        <v>30</v>
      </c>
      <c r="O7" s="6" t="s">
        <v>30</v>
      </c>
    </row>
    <row r="8" spans="1:15" ht="24.5" customHeight="1">
      <c r="A8" s="4"/>
      <c r="B8" s="3" t="s">
        <v>38</v>
      </c>
      <c r="C8" s="3" t="s">
        <v>13</v>
      </c>
      <c r="D8" s="3">
        <v>1</v>
      </c>
      <c r="E8" s="3">
        <v>0</v>
      </c>
      <c r="F8" s="3">
        <v>0</v>
      </c>
      <c r="G8" s="3">
        <f t="shared" si="1"/>
        <v>1</v>
      </c>
      <c r="H8" s="3">
        <f t="shared" si="2"/>
        <v>1</v>
      </c>
      <c r="I8" s="3">
        <f t="shared" si="0"/>
        <v>1</v>
      </c>
      <c r="J8" s="3">
        <v>10</v>
      </c>
      <c r="K8" s="3">
        <v>0</v>
      </c>
      <c r="L8" s="3">
        <v>0</v>
      </c>
      <c r="M8" s="3">
        <f t="shared" si="3"/>
        <v>1</v>
      </c>
      <c r="N8" s="3">
        <f t="shared" si="4"/>
        <v>1</v>
      </c>
      <c r="O8" s="3">
        <f t="shared" si="5"/>
        <v>1</v>
      </c>
    </row>
    <row r="9" spans="1:15" ht="29" customHeight="1">
      <c r="A9" s="4"/>
      <c r="B9" s="5" t="s">
        <v>39</v>
      </c>
      <c r="C9" s="2" t="s">
        <v>14</v>
      </c>
      <c r="D9" s="2">
        <v>2</v>
      </c>
      <c r="E9" s="2">
        <v>0</v>
      </c>
      <c r="F9" s="2">
        <v>0</v>
      </c>
      <c r="G9" s="6">
        <f t="shared" si="1"/>
        <v>1</v>
      </c>
      <c r="H9" s="6">
        <f t="shared" si="2"/>
        <v>1</v>
      </c>
      <c r="I9" s="6">
        <f t="shared" si="0"/>
        <v>1</v>
      </c>
      <c r="J9" s="6" t="s">
        <v>30</v>
      </c>
      <c r="K9" s="6" t="s">
        <v>30</v>
      </c>
      <c r="L9" s="6" t="s">
        <v>30</v>
      </c>
      <c r="M9" s="6" t="s">
        <v>30</v>
      </c>
      <c r="N9" s="6" t="s">
        <v>30</v>
      </c>
      <c r="O9" s="6" t="s">
        <v>30</v>
      </c>
    </row>
    <row r="10" spans="1:15" ht="25.5" customHeight="1">
      <c r="A10" s="4"/>
      <c r="B10" s="3" t="s">
        <v>40</v>
      </c>
      <c r="C10" s="3" t="s">
        <v>8</v>
      </c>
      <c r="D10" s="3">
        <v>4</v>
      </c>
      <c r="E10" s="3">
        <v>0</v>
      </c>
      <c r="F10" s="3">
        <v>0</v>
      </c>
      <c r="G10" s="3">
        <f t="shared" si="1"/>
        <v>1</v>
      </c>
      <c r="H10" s="3">
        <f t="shared" si="2"/>
        <v>1</v>
      </c>
      <c r="I10" s="3">
        <f t="shared" si="0"/>
        <v>1</v>
      </c>
      <c r="J10" s="3">
        <v>93</v>
      </c>
      <c r="K10" s="3">
        <v>0</v>
      </c>
      <c r="L10" s="3">
        <v>0</v>
      </c>
      <c r="M10" s="3">
        <f t="shared" si="3"/>
        <v>1</v>
      </c>
      <c r="N10" s="3">
        <f t="shared" si="4"/>
        <v>1</v>
      </c>
      <c r="O10" s="3">
        <f t="shared" si="5"/>
        <v>1</v>
      </c>
    </row>
    <row r="11" spans="1:15" ht="26" customHeight="1">
      <c r="A11" s="4"/>
      <c r="B11" s="6" t="s">
        <v>41</v>
      </c>
      <c r="C11" s="2" t="s">
        <v>15</v>
      </c>
      <c r="D11" s="2">
        <v>2</v>
      </c>
      <c r="E11" s="2">
        <v>0</v>
      </c>
      <c r="F11" s="2">
        <v>0</v>
      </c>
      <c r="G11" s="6">
        <f t="shared" si="1"/>
        <v>1</v>
      </c>
      <c r="H11" s="6">
        <f t="shared" si="2"/>
        <v>1</v>
      </c>
      <c r="I11" s="6">
        <f t="shared" si="0"/>
        <v>1</v>
      </c>
      <c r="J11" s="6">
        <v>28</v>
      </c>
      <c r="K11" s="6">
        <v>0</v>
      </c>
      <c r="L11" s="6">
        <v>0</v>
      </c>
      <c r="M11" s="6">
        <f t="shared" si="3"/>
        <v>1</v>
      </c>
      <c r="N11" s="6">
        <f t="shared" si="4"/>
        <v>1</v>
      </c>
      <c r="O11" s="6">
        <f t="shared" si="5"/>
        <v>1</v>
      </c>
    </row>
    <row r="12" spans="1:15" ht="27.5" customHeight="1">
      <c r="A12" s="4"/>
      <c r="B12" s="3" t="s">
        <v>42</v>
      </c>
      <c r="C12" s="3" t="s">
        <v>16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8">
        <v>10</v>
      </c>
      <c r="K12" s="8">
        <v>0</v>
      </c>
      <c r="L12" s="8">
        <v>0</v>
      </c>
      <c r="M12" s="3">
        <f t="shared" si="3"/>
        <v>1</v>
      </c>
      <c r="N12" s="3">
        <f t="shared" si="4"/>
        <v>1</v>
      </c>
      <c r="O12" s="3">
        <f>2*(M12*N12)/(M12+N12)</f>
        <v>1</v>
      </c>
    </row>
    <row r="13" spans="1:15" ht="23.5" customHeight="1">
      <c r="A13" s="4"/>
      <c r="B13" s="6" t="s">
        <v>43</v>
      </c>
      <c r="C13" s="2" t="s">
        <v>9</v>
      </c>
      <c r="D13" s="2">
        <v>2</v>
      </c>
      <c r="E13" s="2">
        <v>0</v>
      </c>
      <c r="F13" s="2">
        <v>0</v>
      </c>
      <c r="G13" s="6">
        <f t="shared" si="1"/>
        <v>1</v>
      </c>
      <c r="H13" s="6">
        <f t="shared" si="2"/>
        <v>1</v>
      </c>
      <c r="I13" s="6">
        <f t="shared" si="0"/>
        <v>1</v>
      </c>
      <c r="J13" s="6">
        <v>14</v>
      </c>
      <c r="K13" s="6">
        <v>0</v>
      </c>
      <c r="L13" s="6">
        <v>0</v>
      </c>
      <c r="M13" s="6">
        <f>J13/(J13+K13)</f>
        <v>1</v>
      </c>
      <c r="N13" s="6">
        <f>J13/(J13+L13)</f>
        <v>1</v>
      </c>
      <c r="O13" s="6">
        <f t="shared" si="5"/>
        <v>1</v>
      </c>
    </row>
    <row r="14" spans="1:15" ht="32.5" customHeight="1">
      <c r="A14" s="4"/>
      <c r="B14" s="3" t="s">
        <v>44</v>
      </c>
      <c r="C14" s="3" t="s">
        <v>17</v>
      </c>
      <c r="D14" s="3">
        <v>2</v>
      </c>
      <c r="E14" s="3">
        <v>0</v>
      </c>
      <c r="F14" s="3">
        <v>0</v>
      </c>
      <c r="G14" s="3">
        <f t="shared" si="1"/>
        <v>1</v>
      </c>
      <c r="H14" s="3">
        <f t="shared" si="2"/>
        <v>1</v>
      </c>
      <c r="I14" s="3">
        <f t="shared" si="0"/>
        <v>1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</row>
    <row r="15" spans="1:15" ht="24">
      <c r="A15" s="9" t="s">
        <v>45</v>
      </c>
      <c r="B15" s="1" t="s">
        <v>54</v>
      </c>
      <c r="C15" s="10" t="s">
        <v>49</v>
      </c>
      <c r="D15" s="13">
        <v>4</v>
      </c>
      <c r="E15" s="13">
        <v>0</v>
      </c>
      <c r="F15" s="13">
        <v>0</v>
      </c>
      <c r="G15" s="2">
        <f>D15/(D15+E15)</f>
        <v>1</v>
      </c>
      <c r="H15" s="2">
        <f t="shared" si="2"/>
        <v>1</v>
      </c>
      <c r="I15" s="2">
        <f t="shared" si="0"/>
        <v>1</v>
      </c>
      <c r="J15" s="13">
        <v>17</v>
      </c>
      <c r="K15" s="13">
        <v>0</v>
      </c>
      <c r="L15" s="13">
        <v>0</v>
      </c>
      <c r="M15" s="13">
        <f>J15/(J15+K15)</f>
        <v>1</v>
      </c>
      <c r="N15" s="13">
        <f>J15/(J15+L15)</f>
        <v>1</v>
      </c>
      <c r="O15" s="13">
        <f>2*(M15*N15)/(M15+N15)</f>
        <v>1</v>
      </c>
    </row>
    <row r="16" spans="1:15" ht="24">
      <c r="A16" s="9"/>
      <c r="B16" s="3" t="s">
        <v>53</v>
      </c>
      <c r="C16" s="12" t="s">
        <v>48</v>
      </c>
      <c r="D16" s="14">
        <v>40</v>
      </c>
      <c r="E16" s="14">
        <v>3</v>
      </c>
      <c r="F16" s="14">
        <v>1</v>
      </c>
      <c r="G16" s="3">
        <f t="shared" si="1"/>
        <v>0.93023255813953487</v>
      </c>
      <c r="H16" s="3">
        <f t="shared" si="2"/>
        <v>0.97560975609756095</v>
      </c>
      <c r="I16" s="3">
        <f t="shared" si="0"/>
        <v>0.95238095238095244</v>
      </c>
      <c r="J16" s="14">
        <v>117</v>
      </c>
      <c r="K16" s="14">
        <v>0</v>
      </c>
      <c r="L16" s="14">
        <v>0</v>
      </c>
      <c r="M16" s="14">
        <f t="shared" ref="M16:M28" si="6">J16/(J16+K16)</f>
        <v>1</v>
      </c>
      <c r="N16" s="14">
        <f t="shared" ref="N16:N28" si="7">J16/(J16+L16)</f>
        <v>1</v>
      </c>
      <c r="O16" s="14">
        <f t="shared" ref="O16:O28" si="8">2*(M16*N16)/(M16+N16)</f>
        <v>1</v>
      </c>
    </row>
    <row r="17" spans="1:15" ht="24">
      <c r="A17" s="9"/>
      <c r="B17" s="2" t="s">
        <v>55</v>
      </c>
      <c r="C17" s="11" t="s">
        <v>50</v>
      </c>
      <c r="D17" s="13">
        <v>4</v>
      </c>
      <c r="E17" s="13">
        <v>0</v>
      </c>
      <c r="F17" s="13">
        <v>0</v>
      </c>
      <c r="G17" s="2">
        <f t="shared" si="1"/>
        <v>1</v>
      </c>
      <c r="H17" s="2">
        <f t="shared" si="2"/>
        <v>1</v>
      </c>
      <c r="I17" s="2">
        <f t="shared" si="0"/>
        <v>1</v>
      </c>
      <c r="J17" s="13">
        <v>17</v>
      </c>
      <c r="K17" s="13">
        <v>0</v>
      </c>
      <c r="L17" s="13">
        <v>0</v>
      </c>
      <c r="M17" s="13">
        <f t="shared" si="6"/>
        <v>1</v>
      </c>
      <c r="N17" s="13">
        <f t="shared" si="7"/>
        <v>1</v>
      </c>
      <c r="O17" s="13">
        <f t="shared" si="8"/>
        <v>1</v>
      </c>
    </row>
    <row r="18" spans="1:15" ht="24">
      <c r="A18" s="9"/>
      <c r="B18" s="3" t="s">
        <v>56</v>
      </c>
      <c r="C18" s="12" t="s">
        <v>51</v>
      </c>
      <c r="D18" s="14">
        <v>4</v>
      </c>
      <c r="E18" s="14">
        <v>0</v>
      </c>
      <c r="F18" s="14">
        <v>0</v>
      </c>
      <c r="G18" s="3">
        <f t="shared" si="1"/>
        <v>1</v>
      </c>
      <c r="H18" s="3">
        <f t="shared" si="2"/>
        <v>1</v>
      </c>
      <c r="I18" s="3">
        <f t="shared" si="0"/>
        <v>1</v>
      </c>
      <c r="J18" s="14">
        <v>17</v>
      </c>
      <c r="K18" s="14">
        <v>0</v>
      </c>
      <c r="L18" s="14">
        <v>0</v>
      </c>
      <c r="M18" s="14">
        <f t="shared" si="6"/>
        <v>1</v>
      </c>
      <c r="N18" s="14">
        <f t="shared" si="7"/>
        <v>1</v>
      </c>
      <c r="O18" s="14">
        <f t="shared" si="8"/>
        <v>1</v>
      </c>
    </row>
    <row r="19" spans="1:15" ht="24">
      <c r="A19" s="9" t="s">
        <v>47</v>
      </c>
      <c r="B19" s="2" t="s">
        <v>65</v>
      </c>
      <c r="C19" s="11" t="s">
        <v>52</v>
      </c>
      <c r="D19" s="13">
        <v>2</v>
      </c>
      <c r="E19" s="13">
        <v>0</v>
      </c>
      <c r="F19" s="13">
        <v>0</v>
      </c>
      <c r="G19" s="2">
        <f t="shared" si="1"/>
        <v>1</v>
      </c>
      <c r="H19" s="2">
        <f t="shared" si="2"/>
        <v>1</v>
      </c>
      <c r="I19" s="2">
        <f>2*(G19*H19)/(G19+H19)</f>
        <v>1</v>
      </c>
      <c r="J19" s="13">
        <v>32</v>
      </c>
      <c r="K19" s="13">
        <v>0</v>
      </c>
      <c r="L19" s="13">
        <v>0</v>
      </c>
      <c r="M19" s="13">
        <f t="shared" si="6"/>
        <v>1</v>
      </c>
      <c r="N19" s="13">
        <f t="shared" si="7"/>
        <v>1</v>
      </c>
      <c r="O19" s="13">
        <f t="shared" si="8"/>
        <v>1</v>
      </c>
    </row>
    <row r="20" spans="1:15" ht="24">
      <c r="A20" s="9"/>
      <c r="B20" s="12" t="s">
        <v>66</v>
      </c>
      <c r="C20" s="12" t="s">
        <v>46</v>
      </c>
      <c r="D20" s="14">
        <v>2</v>
      </c>
      <c r="E20" s="14">
        <v>0</v>
      </c>
      <c r="F20" s="14">
        <v>0</v>
      </c>
      <c r="G20" s="3">
        <f t="shared" si="1"/>
        <v>1</v>
      </c>
      <c r="H20" s="3">
        <f t="shared" si="2"/>
        <v>1</v>
      </c>
      <c r="I20" s="3">
        <f t="shared" si="0"/>
        <v>1</v>
      </c>
      <c r="J20" s="14">
        <v>13</v>
      </c>
      <c r="K20" s="14">
        <v>0</v>
      </c>
      <c r="L20" s="14">
        <v>0</v>
      </c>
      <c r="M20" s="14">
        <f t="shared" si="6"/>
        <v>1</v>
      </c>
      <c r="N20" s="14">
        <f t="shared" si="7"/>
        <v>1</v>
      </c>
      <c r="O20" s="14">
        <f t="shared" si="8"/>
        <v>1</v>
      </c>
    </row>
    <row r="21" spans="1:15" ht="24">
      <c r="A21" s="9"/>
      <c r="B21" s="11" t="s">
        <v>67</v>
      </c>
      <c r="C21" s="11" t="s">
        <v>58</v>
      </c>
      <c r="D21" s="13">
        <v>2</v>
      </c>
      <c r="E21" s="13">
        <v>0</v>
      </c>
      <c r="F21" s="13">
        <v>0</v>
      </c>
      <c r="G21" s="2">
        <f t="shared" si="1"/>
        <v>1</v>
      </c>
      <c r="H21" s="2">
        <f t="shared" si="2"/>
        <v>1</v>
      </c>
      <c r="I21" s="2">
        <f t="shared" si="0"/>
        <v>1</v>
      </c>
      <c r="J21" s="13">
        <v>13</v>
      </c>
      <c r="K21" s="13">
        <v>0</v>
      </c>
      <c r="L21" s="13">
        <v>0</v>
      </c>
      <c r="M21" s="13">
        <f t="shared" si="6"/>
        <v>1</v>
      </c>
      <c r="N21" s="13">
        <f t="shared" si="7"/>
        <v>1</v>
      </c>
      <c r="O21" s="13">
        <f t="shared" si="8"/>
        <v>1</v>
      </c>
    </row>
    <row r="22" spans="1:15" ht="24">
      <c r="A22" s="9"/>
      <c r="B22" s="12" t="s">
        <v>68</v>
      </c>
      <c r="C22" s="15" t="s">
        <v>59</v>
      </c>
      <c r="D22" s="16">
        <v>3</v>
      </c>
      <c r="E22" s="16">
        <v>0</v>
      </c>
      <c r="F22" s="16">
        <v>0</v>
      </c>
      <c r="G22" s="3">
        <f t="shared" si="1"/>
        <v>1</v>
      </c>
      <c r="H22" s="3">
        <f t="shared" si="2"/>
        <v>1</v>
      </c>
      <c r="I22" s="3">
        <f t="shared" si="0"/>
        <v>1</v>
      </c>
      <c r="J22" s="16">
        <v>52</v>
      </c>
      <c r="K22" s="16">
        <v>0</v>
      </c>
      <c r="L22" s="16">
        <v>0</v>
      </c>
      <c r="M22" s="14">
        <f>J22/(J22+K22)</f>
        <v>1</v>
      </c>
      <c r="N22" s="14">
        <f t="shared" si="7"/>
        <v>1</v>
      </c>
      <c r="O22" s="14">
        <f t="shared" si="8"/>
        <v>1</v>
      </c>
    </row>
    <row r="23" spans="1:15" ht="24">
      <c r="A23" s="9"/>
      <c r="B23" s="11" t="s">
        <v>69</v>
      </c>
      <c r="C23" s="11" t="s">
        <v>57</v>
      </c>
      <c r="D23" s="13">
        <v>3</v>
      </c>
      <c r="E23" s="13">
        <v>0</v>
      </c>
      <c r="F23" s="13">
        <v>0</v>
      </c>
      <c r="G23" s="2">
        <f t="shared" si="1"/>
        <v>1</v>
      </c>
      <c r="H23" s="2">
        <f t="shared" si="2"/>
        <v>1</v>
      </c>
      <c r="I23" s="2">
        <f t="shared" si="0"/>
        <v>1</v>
      </c>
      <c r="J23" s="13">
        <v>13</v>
      </c>
      <c r="K23" s="13">
        <v>0</v>
      </c>
      <c r="L23" s="13">
        <v>0</v>
      </c>
      <c r="M23" s="13">
        <f t="shared" ref="M23:M28" si="9">J23/(J23+K23)</f>
        <v>1</v>
      </c>
      <c r="N23" s="13">
        <f t="shared" si="7"/>
        <v>1</v>
      </c>
      <c r="O23" s="13">
        <f t="shared" si="8"/>
        <v>1</v>
      </c>
    </row>
    <row r="24" spans="1:15" ht="24">
      <c r="A24" s="9"/>
      <c r="B24" s="12" t="s">
        <v>70</v>
      </c>
      <c r="C24" s="12" t="s">
        <v>60</v>
      </c>
      <c r="D24" s="14">
        <v>4</v>
      </c>
      <c r="E24" s="14">
        <v>2</v>
      </c>
      <c r="F24" s="14">
        <v>0</v>
      </c>
      <c r="G24" s="3">
        <f t="shared" si="1"/>
        <v>0.66666666666666663</v>
      </c>
      <c r="H24" s="3">
        <f t="shared" si="2"/>
        <v>1</v>
      </c>
      <c r="I24" s="3">
        <f t="shared" si="0"/>
        <v>0.8</v>
      </c>
      <c r="J24" s="14">
        <v>13</v>
      </c>
      <c r="K24" s="14">
        <v>0</v>
      </c>
      <c r="L24" s="14">
        <v>0</v>
      </c>
      <c r="M24" s="14">
        <f t="shared" si="9"/>
        <v>1</v>
      </c>
      <c r="N24" s="14">
        <f t="shared" si="7"/>
        <v>1</v>
      </c>
      <c r="O24" s="14">
        <f t="shared" si="8"/>
        <v>1</v>
      </c>
    </row>
    <row r="25" spans="1:15" ht="24">
      <c r="A25" s="9"/>
      <c r="B25" s="11" t="s">
        <v>71</v>
      </c>
      <c r="C25" s="11" t="s">
        <v>61</v>
      </c>
      <c r="D25" s="13">
        <v>5</v>
      </c>
      <c r="E25" s="13">
        <v>0</v>
      </c>
      <c r="F25" s="13">
        <v>1</v>
      </c>
      <c r="G25" s="2">
        <f t="shared" si="1"/>
        <v>1</v>
      </c>
      <c r="H25" s="2">
        <f t="shared" si="2"/>
        <v>0.83333333333333337</v>
      </c>
      <c r="I25" s="2">
        <f t="shared" si="0"/>
        <v>0.90909090909090906</v>
      </c>
      <c r="J25" s="13">
        <v>53</v>
      </c>
      <c r="K25" s="13">
        <v>0</v>
      </c>
      <c r="L25" s="13">
        <v>0</v>
      </c>
      <c r="M25" s="13">
        <f t="shared" si="9"/>
        <v>1</v>
      </c>
      <c r="N25" s="13">
        <f t="shared" si="7"/>
        <v>1</v>
      </c>
      <c r="O25" s="13">
        <f t="shared" si="8"/>
        <v>1</v>
      </c>
    </row>
    <row r="26" spans="1:15" ht="24">
      <c r="A26" s="9"/>
      <c r="B26" s="12" t="s">
        <v>72</v>
      </c>
      <c r="C26" s="12" t="s">
        <v>62</v>
      </c>
      <c r="D26" s="14">
        <v>6</v>
      </c>
      <c r="E26" s="14">
        <v>0</v>
      </c>
      <c r="F26" s="14">
        <v>1</v>
      </c>
      <c r="G26" s="3">
        <f t="shared" si="1"/>
        <v>1</v>
      </c>
      <c r="H26" s="3">
        <f t="shared" si="2"/>
        <v>0.8571428571428571</v>
      </c>
      <c r="I26" s="3">
        <f t="shared" si="0"/>
        <v>0.92307692307692302</v>
      </c>
      <c r="J26" s="14">
        <v>79</v>
      </c>
      <c r="K26" s="14">
        <v>0</v>
      </c>
      <c r="L26" s="14">
        <v>0</v>
      </c>
      <c r="M26" s="14">
        <f t="shared" si="9"/>
        <v>1</v>
      </c>
      <c r="N26" s="14">
        <f t="shared" si="7"/>
        <v>1</v>
      </c>
      <c r="O26" s="14">
        <f t="shared" si="8"/>
        <v>1</v>
      </c>
    </row>
    <row r="27" spans="1:15" ht="24">
      <c r="A27" s="9"/>
      <c r="B27" s="11" t="s">
        <v>73</v>
      </c>
      <c r="C27" s="11" t="s">
        <v>63</v>
      </c>
      <c r="D27" s="13">
        <v>3</v>
      </c>
      <c r="E27" s="13">
        <v>0</v>
      </c>
      <c r="F27" s="13">
        <v>1</v>
      </c>
      <c r="G27" s="2">
        <f t="shared" si="1"/>
        <v>1</v>
      </c>
      <c r="H27" s="2">
        <f t="shared" si="2"/>
        <v>0.75</v>
      </c>
      <c r="I27" s="2">
        <f t="shared" si="0"/>
        <v>0.8571428571428571</v>
      </c>
      <c r="J27" s="13">
        <v>13</v>
      </c>
      <c r="K27" s="13">
        <v>0</v>
      </c>
      <c r="L27" s="13">
        <v>0</v>
      </c>
      <c r="M27" s="13">
        <f t="shared" si="9"/>
        <v>1</v>
      </c>
      <c r="N27" s="13">
        <f t="shared" si="7"/>
        <v>1</v>
      </c>
      <c r="O27" s="13">
        <f t="shared" si="8"/>
        <v>1</v>
      </c>
    </row>
    <row r="28" spans="1:15" ht="24">
      <c r="A28" s="9"/>
      <c r="B28" s="12" t="s">
        <v>74</v>
      </c>
      <c r="C28" s="12" t="s">
        <v>64</v>
      </c>
      <c r="D28" s="14">
        <v>2</v>
      </c>
      <c r="E28" s="14">
        <v>0</v>
      </c>
      <c r="F28" s="14">
        <v>0</v>
      </c>
      <c r="G28" s="3">
        <f t="shared" si="1"/>
        <v>1</v>
      </c>
      <c r="H28" s="3">
        <f t="shared" si="2"/>
        <v>1</v>
      </c>
      <c r="I28" s="3">
        <f t="shared" si="0"/>
        <v>1</v>
      </c>
      <c r="J28" s="14">
        <v>21</v>
      </c>
      <c r="K28" s="14">
        <v>0</v>
      </c>
      <c r="L28" s="14">
        <v>0</v>
      </c>
      <c r="M28" s="14">
        <f t="shared" si="9"/>
        <v>1</v>
      </c>
      <c r="N28" s="14">
        <f t="shared" si="7"/>
        <v>1</v>
      </c>
      <c r="O28" s="14">
        <f t="shared" si="8"/>
        <v>1</v>
      </c>
    </row>
  </sheetData>
  <mergeCells count="4">
    <mergeCell ref="A3:A4"/>
    <mergeCell ref="A5:A14"/>
    <mergeCell ref="A15:A18"/>
    <mergeCell ref="A19:A2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makinoyuuki</dc:creator>
  <cp:lastModifiedBy>牧野　雄希</cp:lastModifiedBy>
  <dcterms:created xsi:type="dcterms:W3CDTF">2015-06-05T18:19:34Z</dcterms:created>
  <dcterms:modified xsi:type="dcterms:W3CDTF">2026-09-18T11:48:11Z</dcterms:modified>
</cp:coreProperties>
</file>