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noyuuki\Desktop\SANER2027\Data\Timeoff\"/>
    </mc:Choice>
  </mc:AlternateContent>
  <xr:revisionPtr revIDLastSave="0" documentId="13_ncr:1_{94C12A54-2415-4311-A7AC-34CBE3F84430}" xr6:coauthVersionLast="47" xr6:coauthVersionMax="47" xr10:uidLastSave="{00000000-0000-0000-0000-000000000000}"/>
  <bookViews>
    <workbookView xWindow="-110" yWindow="-110" windowWidth="19420" windowHeight="11020" xr2:uid="{76F834DE-5EFC-4D6B-9741-493A547AC4EA}"/>
  </bookViews>
  <sheets>
    <sheet name="result" sheetId="1" r:id="rId1"/>
  </sheets>
  <definedNames>
    <definedName name="_xlnm._FilterDatabase" localSheetId="0" hidden="1">result!$A$1:$V$169</definedName>
    <definedName name="UI変更_分類">#REF!</definedName>
    <definedName name="原因_コードの差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1" l="1"/>
  <c r="D73" i="1"/>
  <c r="H3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101" i="1"/>
  <c r="H90" i="1"/>
  <c r="H91" i="1"/>
  <c r="H92" i="1"/>
  <c r="H93" i="1"/>
  <c r="H94" i="1"/>
  <c r="H95" i="1"/>
  <c r="H96" i="1"/>
  <c r="H97" i="1"/>
  <c r="H98" i="1"/>
  <c r="H99" i="1"/>
  <c r="H100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2" i="1"/>
  <c r="H171" i="1"/>
  <c r="D92" i="1"/>
  <c r="D51" i="1"/>
  <c r="D52" i="1"/>
  <c r="D50" i="1"/>
  <c r="D46" i="1"/>
  <c r="D8" i="1" l="1"/>
  <c r="D9" i="1"/>
  <c r="D10" i="1"/>
  <c r="D13" i="1"/>
  <c r="D14" i="1"/>
  <c r="D17" i="1"/>
  <c r="D18" i="1"/>
  <c r="D27" i="1"/>
  <c r="D29" i="1"/>
  <c r="D30" i="1"/>
  <c r="D35" i="1"/>
  <c r="D36" i="1"/>
  <c r="D37" i="1"/>
  <c r="D38" i="1"/>
  <c r="D42" i="1"/>
  <c r="D43" i="1"/>
  <c r="D44" i="1"/>
  <c r="D45" i="1"/>
  <c r="D53" i="1"/>
  <c r="D54" i="1"/>
  <c r="D55" i="1"/>
  <c r="D56" i="1"/>
  <c r="D57" i="1"/>
  <c r="D61" i="1"/>
  <c r="D62" i="1"/>
  <c r="D63" i="1"/>
  <c r="D64" i="1"/>
  <c r="D65" i="1"/>
  <c r="D74" i="1"/>
  <c r="D76" i="1"/>
  <c r="D77" i="1"/>
  <c r="D78" i="1"/>
  <c r="D85" i="1"/>
  <c r="D86" i="1"/>
  <c r="D101" i="1"/>
  <c r="D90" i="1"/>
  <c r="D91" i="1"/>
  <c r="D93" i="1"/>
  <c r="D94" i="1"/>
  <c r="D102" i="1"/>
  <c r="D103" i="1"/>
  <c r="D106" i="1"/>
  <c r="D107" i="1"/>
  <c r="D108" i="1"/>
  <c r="D116" i="1"/>
  <c r="D124" i="1"/>
  <c r="D125" i="1"/>
  <c r="D126" i="1"/>
  <c r="D128" i="1"/>
  <c r="D129" i="1"/>
  <c r="D130" i="1"/>
  <c r="D131" i="1"/>
  <c r="D134" i="1"/>
  <c r="D139" i="1"/>
  <c r="D141" i="1"/>
  <c r="D142" i="1"/>
  <c r="D143" i="1"/>
  <c r="D144" i="1"/>
  <c r="D147" i="1"/>
  <c r="D148" i="1"/>
  <c r="D151" i="1"/>
  <c r="D152" i="1"/>
  <c r="D154" i="1"/>
  <c r="D160" i="1"/>
  <c r="D161" i="1"/>
  <c r="D163" i="1"/>
  <c r="D164" i="1"/>
  <c r="D165" i="1"/>
  <c r="D172" i="1"/>
  <c r="D171" i="1"/>
  <c r="D19" i="1"/>
  <c r="D20" i="1"/>
  <c r="D21" i="1"/>
  <c r="D22" i="1"/>
  <c r="D31" i="1"/>
  <c r="D32" i="1"/>
  <c r="D39" i="1"/>
  <c r="D40" i="1"/>
  <c r="D41" i="1"/>
  <c r="D66" i="1"/>
  <c r="D67" i="1"/>
  <c r="D132" i="1"/>
  <c r="D135" i="1"/>
  <c r="D138" i="1"/>
  <c r="D155" i="1"/>
  <c r="D156" i="1"/>
  <c r="D157" i="1"/>
  <c r="D158" i="1"/>
  <c r="D15" i="1"/>
  <c r="D16" i="1"/>
  <c r="D23" i="1"/>
  <c r="D24" i="1"/>
  <c r="D25" i="1"/>
  <c r="D26" i="1"/>
  <c r="D33" i="1"/>
  <c r="D34" i="1"/>
  <c r="D123" i="1"/>
  <c r="D6" i="1"/>
  <c r="D11" i="1"/>
  <c r="D12" i="1"/>
  <c r="D28" i="1"/>
  <c r="D47" i="1"/>
  <c r="D48" i="1"/>
  <c r="D49" i="1"/>
  <c r="D58" i="1"/>
  <c r="D59" i="1"/>
  <c r="D60" i="1"/>
  <c r="D68" i="1"/>
  <c r="D69" i="1"/>
  <c r="D70" i="1"/>
  <c r="D71" i="1"/>
  <c r="D72" i="1"/>
  <c r="D75" i="1"/>
  <c r="D79" i="1"/>
  <c r="D80" i="1"/>
  <c r="D81" i="1"/>
  <c r="D82" i="1"/>
  <c r="D83" i="1"/>
  <c r="D84" i="1"/>
  <c r="D87" i="1"/>
  <c r="D88" i="1"/>
  <c r="D89" i="1"/>
  <c r="D95" i="1"/>
  <c r="D96" i="1"/>
  <c r="D97" i="1"/>
  <c r="D98" i="1"/>
  <c r="D99" i="1"/>
  <c r="D100" i="1"/>
  <c r="D104" i="1"/>
  <c r="D105" i="1"/>
  <c r="D109" i="1"/>
  <c r="D110" i="1"/>
  <c r="D111" i="1"/>
  <c r="D112" i="1"/>
  <c r="D113" i="1"/>
  <c r="D114" i="1"/>
  <c r="D115" i="1"/>
  <c r="D117" i="1"/>
  <c r="D118" i="1"/>
  <c r="D119" i="1"/>
  <c r="D120" i="1"/>
  <c r="D121" i="1"/>
  <c r="D122" i="1"/>
  <c r="D127" i="1"/>
  <c r="D133" i="1"/>
  <c r="D136" i="1"/>
  <c r="D137" i="1"/>
  <c r="D140" i="1"/>
  <c r="D145" i="1"/>
  <c r="D146" i="1"/>
  <c r="D149" i="1"/>
  <c r="D150" i="1"/>
  <c r="D153" i="1"/>
  <c r="D159" i="1"/>
  <c r="D162" i="1"/>
  <c r="D166" i="1"/>
  <c r="D167" i="1"/>
  <c r="D168" i="1"/>
  <c r="D169" i="1"/>
  <c r="D170" i="1"/>
  <c r="D3" i="1"/>
  <c r="D4" i="1"/>
  <c r="D5" i="1"/>
  <c r="D7" i="1"/>
  <c r="D2" i="1"/>
</calcChain>
</file>

<file path=xl/sharedStrings.xml><?xml version="1.0" encoding="utf-8"?>
<sst xmlns="http://schemas.openxmlformats.org/spreadsheetml/2006/main" count="1468" uniqueCount="230">
  <si>
    <t>1042-1043</t>
    <phoneticPr fontId="1"/>
  </si>
  <si>
    <t>1025-1026</t>
    <phoneticPr fontId="1"/>
  </si>
  <si>
    <t>1009-1010</t>
    <phoneticPr fontId="1"/>
  </si>
  <si>
    <t>996-997</t>
    <phoneticPr fontId="1"/>
  </si>
  <si>
    <t>Auto approvals | Revoke request</t>
    <phoneticPr fontId="1"/>
  </si>
  <si>
    <t>Basic audit for user changes | Enable API integration and capture the token value</t>
    <phoneticPr fontId="1"/>
  </si>
  <si>
    <t>Basic user specific schedule | Open Book leave popup window</t>
    <phoneticPr fontId="1"/>
  </si>
  <si>
    <t>Carry over issue for users started in current year | Recalculate carried over allowance for the company</t>
    <phoneticPr fontId="1"/>
  </si>
  <si>
    <t>Case when holidays spans through more then one month and is devided by bank holiday | Create new bank holiday to be on 2 Aug 2016</t>
    <phoneticPr fontId="1"/>
  </si>
  <si>
    <t>Changing default company wide schedule | Make Wednesday to be non-working day</t>
    <phoneticPr fontId="1"/>
  </si>
  <si>
    <t>Check filtering on "users" page | Click on "All" filter</t>
    <phoneticPr fontId="1"/>
  </si>
  <si>
    <t>Check filtering on "users" page | Click on IT department</t>
    <phoneticPr fontId="1"/>
  </si>
  <si>
    <t>Check the client side logic to facilitate filling new absence form | Open Book new leave pop up window</t>
    <phoneticPr fontId="1"/>
  </si>
  <si>
    <t>Check Time zones | Get the date from Book leave modal and put it into today_tonga variable</t>
    <phoneticPr fontId="1"/>
  </si>
  <si>
    <t>Check Time zones | Get the date from Book leave modal and put it into today_usa</t>
    <phoneticPr fontId="1"/>
  </si>
  <si>
    <t>Check Time zones | Open Book leave popup window</t>
    <phoneticPr fontId="1"/>
  </si>
  <si>
    <t>Coloring of half days | Changes default color for Sick days to be "color 3"</t>
    <phoneticPr fontId="1"/>
  </si>
  <si>
    <t>1025-1026</t>
  </si>
  <si>
    <t>996-997</t>
  </si>
  <si>
    <t>CRUD for bank holidays | Add new bank holiday to be in the end of the list</t>
  </si>
  <si>
    <t>1002-1026</t>
  </si>
  <si>
    <t>CRUD for bank holidays | Remove Spring bank holiday</t>
    <phoneticPr fontId="1"/>
  </si>
  <si>
    <t>CRUD for bank holidays | Rename Christmas to have proper name</t>
  </si>
  <si>
    <t>CRUD for bank holidays | Try to submit form with incorrect date</t>
    <phoneticPr fontId="1"/>
  </si>
  <si>
    <t>1003-1026</t>
  </si>
  <si>
    <t>CRUD for bank holidays | Update Early spring holiday to be 4th of May</t>
    <phoneticPr fontId="1"/>
  </si>
  <si>
    <t>1078-1079</t>
  </si>
  <si>
    <t>1078-1079</t>
    <phoneticPr fontId="1"/>
  </si>
  <si>
    <t>CRUD for leave types | Add new leave type</t>
    <phoneticPr fontId="1"/>
  </si>
  <si>
    <t>CRUD for leave types | And rename newly added leave type to start with "M"</t>
    <phoneticPr fontId="1"/>
  </si>
  <si>
    <t>CRUD for leave types | Change Sick leave type to be non-default colour</t>
    <phoneticPr fontId="1"/>
  </si>
  <si>
    <t>1009-1010</t>
  </si>
  <si>
    <t>CRUD for leave types | Check that it is possible to update Limits</t>
    <phoneticPr fontId="1"/>
  </si>
  <si>
    <t>CRUD for leave types | Check that updating "use allowance flag" works</t>
    <phoneticPr fontId="1"/>
  </si>
  <si>
    <t>CRUD for leave types | Make sure that Limit cannot be negative</t>
  </si>
  <si>
    <t>Enable/disable Integration APIs | Disable the API integration for current company</t>
  </si>
  <si>
    <t>Enable/disable Integration APIs | Regenerate the API key</t>
  </si>
  <si>
    <t>1042-1043</t>
  </si>
  <si>
    <t>Leave request cancelation | Open Book leave popup window</t>
    <phoneticPr fontId="1"/>
  </si>
  <si>
    <t>Leave request reflects shanges in company schedule | Open Book leave popup window</t>
  </si>
  <si>
    <t>No negative allowanca is carried overs | Calculate carry over</t>
    <phoneticPr fontId="1"/>
  </si>
  <si>
    <t>Try to remove used leave type | Add new leave type</t>
  </si>
  <si>
    <t>Try to remove used leave type | Add new leave type</t>
    <phoneticPr fontId="1"/>
  </si>
  <si>
    <t>935-936</t>
  </si>
  <si>
    <t>Carry over issue for users started in current year | Register new company</t>
  </si>
  <si>
    <t>924-925</t>
  </si>
  <si>
    <t>925-927</t>
  </si>
  <si>
    <t>905-1026</t>
  </si>
  <si>
    <t>905-1026</t>
    <phoneticPr fontId="1"/>
  </si>
  <si>
    <t>Try to remove used leave type | Request new leave</t>
  </si>
  <si>
    <t>Case when holidays spans through more then one month and is devided by bank holiday | Logout from user A (admin)</t>
  </si>
  <si>
    <t>962-963</t>
    <phoneticPr fontId="1"/>
  </si>
  <si>
    <t>963-964</t>
    <phoneticPr fontId="1"/>
  </si>
  <si>
    <t>Check that values for new columns are shown only for employess currently login user can supervise | Register new company as admin user A</t>
  </si>
  <si>
    <t>917-918</t>
  </si>
  <si>
    <t>918-919</t>
    <phoneticPr fontId="1"/>
  </si>
  <si>
    <t>Case when holidays spans through more then one month and is devided by bank holiday | Logout from user A (admin)</t>
    <phoneticPr fontId="1"/>
  </si>
  <si>
    <t>Check Time zones | Submit new leave request</t>
  </si>
  <si>
    <t>927-929</t>
  </si>
  <si>
    <t>973-974</t>
  </si>
  <si>
    <t>974-975</t>
    <phoneticPr fontId="1"/>
  </si>
  <si>
    <t>899-901</t>
  </si>
  <si>
    <t>901-902</t>
  </si>
  <si>
    <t>CRUD for bank holidays | Update Early spring holiday to be 4th of May</t>
  </si>
  <si>
    <t>CRUD for leave types | Check that updating "use allowance flag" works</t>
  </si>
  <si>
    <t>902-1026</t>
    <phoneticPr fontId="1"/>
  </si>
  <si>
    <t>Leave request cancelation | Initiate revoke procedure (but not finish)</t>
    <phoneticPr fontId="1"/>
  </si>
  <si>
    <t>Leave request cancelation | Open Book leave popup window</t>
  </si>
  <si>
    <t>902-903</t>
    <phoneticPr fontId="1"/>
  </si>
  <si>
    <t>901-1026</t>
  </si>
  <si>
    <t>Remove company account | Book a leave by user from company A</t>
  </si>
  <si>
    <t>Remove company account | Book a leave by user from company B</t>
  </si>
  <si>
    <t>893-1026</t>
  </si>
  <si>
    <t>1025-1031</t>
  </si>
  <si>
    <t>Basic audit for user changes | Enable API integration and capture the token value</t>
  </si>
  <si>
    <t>893-895</t>
  </si>
  <si>
    <t>909-910</t>
  </si>
  <si>
    <t>893-895</t>
    <phoneticPr fontId="1"/>
  </si>
  <si>
    <t>909-910</t>
    <phoneticPr fontId="1"/>
  </si>
  <si>
    <t>CRUD for leave types | And rename newly added leave type to start with "M"</t>
  </si>
  <si>
    <t>CRUD for leave types | Change Sick leave type to be non-default colour</t>
  </si>
  <si>
    <t>CRUD for leave types | Mark ZZZ as one to be default one</t>
    <phoneticPr fontId="1"/>
  </si>
  <si>
    <t>1030-1031</t>
  </si>
  <si>
    <t>1059-1060</t>
  </si>
  <si>
    <t>1066-1067</t>
  </si>
  <si>
    <t>Enable/disable Integration APIs | Disable the API integration for current company</t>
    <phoneticPr fontId="1"/>
  </si>
  <si>
    <t>902-1026</t>
    <phoneticPr fontId="1"/>
  </si>
  <si>
    <t>1025-1026</t>
    <phoneticPr fontId="1"/>
  </si>
  <si>
    <t>893-895</t>
    <phoneticPr fontId="1"/>
  </si>
  <si>
    <t>909-910</t>
    <phoneticPr fontId="1"/>
  </si>
  <si>
    <t>Leave type limits in actoion | Check that it is possible to update Limits</t>
    <phoneticPr fontId="1"/>
  </si>
  <si>
    <t>No negative allowanca is carried overs | Calculate carry over</t>
  </si>
  <si>
    <t>1009-1010</t>
    <phoneticPr fontId="1"/>
  </si>
  <si>
    <t>1078-1079</t>
    <phoneticPr fontId="1"/>
  </si>
  <si>
    <t>1042-1043</t>
    <phoneticPr fontId="1"/>
  </si>
  <si>
    <t>CRUD for bank holidays | Update Early spring holiday to be 4th of May</t>
    <phoneticPr fontId="1"/>
  </si>
  <si>
    <t>CRUD for leave types | Change Sick leave type to be non-default colour</t>
    <phoneticPr fontId="1"/>
  </si>
  <si>
    <t>CRUD for leave types | Check that updating "use allowance flag" works</t>
    <phoneticPr fontId="1"/>
  </si>
  <si>
    <t>Leave type limits for next year: 2026 | Check that it is possible to update Limits</t>
    <phoneticPr fontId="1"/>
  </si>
  <si>
    <t>899-901</t>
    <phoneticPr fontId="1"/>
  </si>
  <si>
    <t>Leave request cancelation | Initiate revoke procedure (but not finish)</t>
    <phoneticPr fontId="1"/>
  </si>
  <si>
    <t>Carry over issue for users started in current year | Register new company</t>
    <phoneticPr fontId="1"/>
  </si>
  <si>
    <t>CRUD for bank holidays | Rename Christmas to have proper name</t>
    <phoneticPr fontId="1"/>
  </si>
  <si>
    <t>CRUD for bank holidays | Add new bank holiday to be in the beginning of the list</t>
    <phoneticPr fontId="1"/>
  </si>
  <si>
    <t>Leave request reflects shanges in company schedule | Open Book leave popup window</t>
    <phoneticPr fontId="1"/>
  </si>
  <si>
    <t>Leave request with single user | Open page to create new leave</t>
    <phoneticPr fontId="1"/>
  </si>
  <si>
    <t>Register new user | Navigate to current uer details</t>
    <phoneticPr fontId="1"/>
  </si>
  <si>
    <t>Leave request cancelation | Cancel leave request</t>
    <phoneticPr fontId="1"/>
  </si>
  <si>
    <t>Revoke leave request | Revoke request</t>
    <phoneticPr fontId="1"/>
  </si>
  <si>
    <t>Revoke leave request by Admin | ... and revoke her time off</t>
    <phoneticPr fontId="1"/>
  </si>
  <si>
    <t>CRUD for leave types | Add AAA and ZZZ leave types</t>
    <phoneticPr fontId="1"/>
  </si>
  <si>
    <t>CRUD for leave types | Remove empty newly added leave type</t>
    <phoneticPr fontId="1"/>
  </si>
  <si>
    <t>Remove company account | Login as Admin from company A and remove company's account</t>
    <phoneticPr fontId="1"/>
  </si>
  <si>
    <t>Enable/disable Integration APIs | Regenerate the API key</t>
    <phoneticPr fontId="1"/>
  </si>
  <si>
    <t>Basic user specific schedule | Submit new leave requesti from user A for 7 calendar days</t>
    <phoneticPr fontId="1"/>
  </si>
  <si>
    <t>Leave request with single user | Create new leave request</t>
    <phoneticPr fontId="1"/>
  </si>
  <si>
    <t>Try to remove used leave type | Request new leave</t>
    <phoneticPr fontId="1"/>
  </si>
  <si>
    <t>Check Time zones | Submit new leave request</t>
    <phoneticPr fontId="1"/>
  </si>
  <si>
    <t>Leave request cancelation | Submit new leave request for user A one weekday</t>
    <phoneticPr fontId="1"/>
  </si>
  <si>
    <t>CRUD for bank holidays | Add new bank holiday to be in the end of the list</t>
    <phoneticPr fontId="1"/>
  </si>
  <si>
    <t>Dealing with inactive users | Try to login as EMPLOYEE and make sure system rejects</t>
    <phoneticPr fontId="1"/>
  </si>
  <si>
    <t>Deactivate and activate user | Although setting end_date to some value in past still works</t>
    <phoneticPr fontId="1"/>
  </si>
  <si>
    <t>Remove company account | Book a leave by user from company A</t>
    <phoneticPr fontId="1"/>
  </si>
  <si>
    <t>Check that values for new columns are shown only for employess currently login user can supervise | Register new company as admin user A</t>
    <phoneticPr fontId="1"/>
  </si>
  <si>
    <t>"Keep it secrete"</t>
    <phoneticPr fontId="1"/>
  </si>
  <si>
    <t>Description</t>
    <phoneticPr fontId="1"/>
  </si>
  <si>
    <t>"Carry over allowance"</t>
    <phoneticPr fontId="1"/>
  </si>
  <si>
    <t>Public holidays…</t>
    <phoneticPr fontId="1"/>
  </si>
  <si>
    <t>…staff</t>
    <phoneticPr fontId="1"/>
  </si>
  <si>
    <t>Leave Types</t>
    <phoneticPr fontId="1"/>
  </si>
  <si>
    <t>name</t>
    <phoneticPr fontId="1"/>
  </si>
  <si>
    <t>...staff</t>
    <phoneticPr fontId="1"/>
  </si>
  <si>
    <t>Dates(from -&gt; to)</t>
    <phoneticPr fontId="1"/>
  </si>
  <si>
    <t>test_name</t>
    <phoneticPr fontId="1"/>
  </si>
  <si>
    <t>effort</t>
    <phoneticPr fontId="1"/>
  </si>
  <si>
    <t>sequence_number</t>
    <phoneticPr fontId="1"/>
  </si>
  <si>
    <t>lines_added</t>
    <phoneticPr fontId="1"/>
  </si>
  <si>
    <t>lines_deleted</t>
    <phoneticPr fontId="1"/>
  </si>
  <si>
    <t>effort_change_direction</t>
    <phoneticPr fontId="1"/>
  </si>
  <si>
    <t>absolute_change_effort</t>
    <phoneticPr fontId="1"/>
  </si>
  <si>
    <t>before_change</t>
    <phoneticPr fontId="1"/>
  </si>
  <si>
    <t>after_change</t>
    <phoneticPr fontId="1"/>
  </si>
  <si>
    <t>target_ui_element</t>
    <phoneticPr fontId="1"/>
  </si>
  <si>
    <t>is_in_scope</t>
    <phoneticPr fontId="1"/>
  </si>
  <si>
    <t>code-changed_ui_element1</t>
    <phoneticPr fontId="1"/>
  </si>
  <si>
    <t>specific_change(code-changed1)_1</t>
    <phoneticPr fontId="1"/>
  </si>
  <si>
    <t>specific_change(target)_1</t>
    <phoneticPr fontId="1"/>
  </si>
  <si>
    <t>specific_change(target)_2</t>
    <phoneticPr fontId="1"/>
  </si>
  <si>
    <t>specific_change(code-changed1)_2</t>
    <phoneticPr fontId="1"/>
  </si>
  <si>
    <t>specific_change(code-changed2)_1</t>
    <phoneticPr fontId="1"/>
  </si>
  <si>
    <t>specific_change(code-changed2)_2</t>
    <phoneticPr fontId="1"/>
  </si>
  <si>
    <t>code-changed_ui_element2</t>
    <phoneticPr fontId="1"/>
  </si>
  <si>
    <t>click_count</t>
    <phoneticPr fontId="1"/>
  </si>
  <si>
    <t>increased</t>
    <phoneticPr fontId="1"/>
  </si>
  <si>
    <t>Register new company</t>
    <phoneticPr fontId="1"/>
  </si>
  <si>
    <t>Logout</t>
    <phoneticPr fontId="1"/>
  </si>
  <si>
    <t>Me</t>
    <phoneticPr fontId="1"/>
  </si>
  <si>
    <t>scroll_distance</t>
    <phoneticPr fontId="1"/>
  </si>
  <si>
    <t>Save Integration API configuration</t>
    <phoneticPr fontId="1"/>
  </si>
  <si>
    <t>brush</t>
    <phoneticPr fontId="1"/>
  </si>
  <si>
    <t>×</t>
    <phoneticPr fontId="1"/>
  </si>
  <si>
    <t>Save changes</t>
    <phoneticPr fontId="1"/>
  </si>
  <si>
    <t>Add new</t>
    <phoneticPr fontId="1"/>
  </si>
  <si>
    <t>Use allowance</t>
    <phoneticPr fontId="1"/>
  </si>
  <si>
    <t>Leave Type Name</t>
    <phoneticPr fontId="1"/>
  </si>
  <si>
    <t>×</t>
    <phoneticPr fontId="1"/>
  </si>
  <si>
    <t>Save integration api configuration</t>
    <phoneticPr fontId="1"/>
  </si>
  <si>
    <t>New absence</t>
    <phoneticPr fontId="1"/>
  </si>
  <si>
    <t>Delete company account</t>
    <phoneticPr fontId="1"/>
  </si>
  <si>
    <t>Revoke</t>
    <phoneticPr fontId="1"/>
  </si>
  <si>
    <t>Create</t>
    <phoneticPr fontId="1"/>
  </si>
  <si>
    <t>decreased</t>
    <phoneticPr fontId="1"/>
  </si>
  <si>
    <t>Carry over allowance</t>
    <phoneticPr fontId="1"/>
  </si>
  <si>
    <t>Save Schedule</t>
    <phoneticPr fontId="1"/>
  </si>
  <si>
    <t>cursor_travel_distance</t>
    <phoneticPr fontId="1"/>
  </si>
  <si>
    <t>keystroke_count</t>
    <phoneticPr fontId="1"/>
  </si>
  <si>
    <t>Enable Ingetration API configuration</t>
    <phoneticPr fontId="1"/>
  </si>
  <si>
    <t>All departments</t>
    <phoneticPr fontId="1"/>
  </si>
  <si>
    <t>IT</t>
    <phoneticPr fontId="1"/>
  </si>
  <si>
    <t>Color 3</t>
    <phoneticPr fontId="1"/>
  </si>
  <si>
    <t>Create(1)</t>
    <phoneticPr fontId="1"/>
  </si>
  <si>
    <t>Create(2)</t>
    <phoneticPr fontId="1"/>
  </si>
  <si>
    <t>Color 2</t>
    <phoneticPr fontId="1"/>
  </si>
  <si>
    <t>Email Address</t>
    <phoneticPr fontId="1"/>
  </si>
  <si>
    <t>Enabel integration API</t>
    <phoneticPr fontId="1"/>
  </si>
  <si>
    <t>Regenerate token</t>
    <phoneticPr fontId="1"/>
  </si>
  <si>
    <t>Cancel</t>
    <phoneticPr fontId="1"/>
  </si>
  <si>
    <t>Name</t>
    <phoneticPr fontId="1"/>
  </si>
  <si>
    <t>Component Addition</t>
  </si>
  <si>
    <t>Upward Shift</t>
  </si>
  <si>
    <t>Leftward Shift</t>
  </si>
  <si>
    <t>Downward Shift</t>
  </si>
  <si>
    <t>Comment</t>
    <phoneticPr fontId="1"/>
  </si>
  <si>
    <t>overall page</t>
    <phoneticPr fontId="1"/>
  </si>
  <si>
    <t>Auto approve</t>
    <phoneticPr fontId="1"/>
  </si>
  <si>
    <t>Calculate and carry over unused allowance</t>
    <phoneticPr fontId="1"/>
  </si>
  <si>
    <t>Carried over days</t>
    <phoneticPr fontId="1"/>
  </si>
  <si>
    <t>Date</t>
    <phoneticPr fontId="1"/>
  </si>
  <si>
    <t>Employees</t>
    <phoneticPr fontId="1"/>
  </si>
  <si>
    <t>Text Contraction</t>
  </si>
  <si>
    <t>Text Expansion</t>
  </si>
  <si>
    <t xml:space="preserve">Height Expansion </t>
  </si>
  <si>
    <t>Width Expansion</t>
  </si>
  <si>
    <t xml:space="preserve">Text Expansion </t>
  </si>
  <si>
    <t>API access key</t>
    <phoneticPr fontId="1"/>
  </si>
  <si>
    <t>For employee:</t>
    <phoneticPr fontId="1"/>
  </si>
  <si>
    <t>Holiday Name</t>
    <phoneticPr fontId="1"/>
  </si>
  <si>
    <t>request</t>
    <phoneticPr fontId="1"/>
  </si>
  <si>
    <t xml:space="preserve">Component Removal </t>
  </si>
  <si>
    <t>Width Contraction</t>
  </si>
  <si>
    <t>Height Contraction</t>
    <phoneticPr fontId="1"/>
  </si>
  <si>
    <t>Height Expansion</t>
    <phoneticPr fontId="1"/>
  </si>
  <si>
    <t>Component Addition</t>
    <phoneticPr fontId="1"/>
  </si>
  <si>
    <t>Upward Shift</t>
    <phoneticPr fontId="1"/>
  </si>
  <si>
    <t>Downward Shift</t>
    <phoneticPr fontId="1"/>
  </si>
  <si>
    <t>Rightward Shift</t>
    <phoneticPr fontId="1"/>
  </si>
  <si>
    <t>code-changed_ui_element3</t>
    <phoneticPr fontId="1"/>
  </si>
  <si>
    <t>specific_change(code-changed3)_1</t>
    <phoneticPr fontId="1"/>
  </si>
  <si>
    <t>specific_change(code-changed3)_2</t>
    <phoneticPr fontId="1"/>
  </si>
  <si>
    <t>absence</t>
    <phoneticPr fontId="1"/>
  </si>
  <si>
    <t>Width Expansion</t>
    <phoneticPr fontId="1"/>
  </si>
  <si>
    <t>(reload)</t>
    <phoneticPr fontId="1"/>
  </si>
  <si>
    <t>(relaod)</t>
    <phoneticPr fontId="1"/>
  </si>
  <si>
    <t>specific_change(target)_3</t>
  </si>
  <si>
    <t>Other</t>
    <phoneticPr fontId="1"/>
  </si>
  <si>
    <t>only_indirect</t>
    <phoneticPr fontId="1"/>
  </si>
  <si>
    <t>revoke</t>
    <phoneticPr fontId="1"/>
  </si>
  <si>
    <t>-</t>
    <phoneticPr fontId="1"/>
  </si>
  <si>
    <t>changed_lines</t>
    <phoneticPr fontId="1"/>
  </si>
  <si>
    <t>Other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</si>
</sst>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7"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6C9EC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8A573-DDAE-4BA0-9BCD-822DA6AE140A}" name="テーブル1" displayName="テーブル1" ref="A1:Y172" totalsRowShown="0" headerRowDxfId="6" headerRowBorderDxfId="5" tableBorderDxfId="4">
  <autoFilter ref="A1:Y172" xr:uid="{9B58A573-DDAE-4BA0-9BCD-822DA6AE140A}"/>
  <sortState xmlns:xlrd2="http://schemas.microsoft.com/office/spreadsheetml/2017/richdata2" ref="A2:U171">
    <sortCondition ref="A1:A171"/>
  </sortState>
  <tableColumns count="25">
    <tableColumn id="1" xr3:uid="{68F464FB-6EAB-4357-81E0-F3A065D812E5}" name="test_name" dataDxfId="3"/>
    <tableColumn id="2" xr3:uid="{2881E9F4-1C48-436F-A2BA-7A4B3A2E2428}" name="effort"/>
    <tableColumn id="3" xr3:uid="{DB08D917-E1F8-4FDA-B62D-49DD2304FA6D}" name="sequence_number"/>
    <tableColumn id="4" xr3:uid="{5FF37A87-22AB-4D95-9DE3-5802EAC09693}" name="changed_lines">
      <calculatedColumnFormula>E2+F2</calculatedColumnFormula>
    </tableColumn>
    <tableColumn id="5" xr3:uid="{E1819659-06C2-42BC-A033-8738ECB33D1B}" name="lines_added" dataDxfId="2"/>
    <tableColumn id="6" xr3:uid="{4737A295-CF65-440F-8228-1CD89A4003B9}" name="lines_deleted" dataDxfId="1"/>
    <tableColumn id="7" xr3:uid="{0C729B8D-5350-466A-BF63-29B5D23E50C9}" name="effort_change_direction"/>
    <tableColumn id="20" xr3:uid="{7A11CF70-810B-453D-A3E5-5D05E27359DC}" name="absolute_change_effort" dataDxfId="0">
      <calculatedColumnFormula>ABS(テーブル1[[#This Row],[after_change]]-テーブル1[[#This Row],[before_change]])</calculatedColumnFormula>
    </tableColumn>
    <tableColumn id="21" xr3:uid="{2013D90E-33D8-471F-997A-C246B6D4C0D7}" name="before_change"/>
    <tableColumn id="22" xr3:uid="{837AD97F-9637-4DA9-8DE5-D81729761C64}" name="after_change"/>
    <tableColumn id="8" xr3:uid="{BA5AB520-C61F-40B9-B96E-903CF6F63B19}" name="target_ui_element"/>
    <tableColumn id="23" xr3:uid="{D897EA98-F2F0-4333-AEDC-DE1CDD4C5CAE}" name="is_in_scope"/>
    <tableColumn id="10" xr3:uid="{2B223E75-CC99-48FD-A118-9463B4FFF357}" name="specific_change(target)_1"/>
    <tableColumn id="12" xr3:uid="{67F024C7-92EF-47D5-9F3D-A32B8B8988D1}" name="specific_change(target)_2"/>
    <tableColumn id="15" xr3:uid="{FC4E5D2D-85DD-4C32-BC64-2BE5BE6CDBE2}" name="specific_change(target)_3"/>
    <tableColumn id="24" xr3:uid="{85865D50-356A-495C-9092-A376B7E7C7BC}" name="code-changed_ui_element1"/>
    <tableColumn id="16" xr3:uid="{AB8E88C1-F48A-4142-A795-142CB7EA4AE8}" name="specific_change(code-changed1)_1"/>
    <tableColumn id="18" xr3:uid="{DE274286-7AE0-42F6-9647-C2DAFDF9C795}" name="specific_change(code-changed1)_2"/>
    <tableColumn id="27" xr3:uid="{CDCB13B9-5878-4EFA-971E-8FE16E08B808}" name="code-changed_ui_element2"/>
    <tableColumn id="30" xr3:uid="{C5FBAF92-D65B-4288-A376-71DCF5809C1F}" name="specific_change(code-changed2)_1"/>
    <tableColumn id="28" xr3:uid="{44118D36-35CD-4DD6-A688-3788855AFD0C}" name="specific_change(code-changed2)_2"/>
    <tableColumn id="9" xr3:uid="{960C560C-12FE-4376-9F99-EFAFC7CCC9CA}" name="code-changed_ui_element3"/>
    <tableColumn id="11" xr3:uid="{A890BDC9-BF79-43A8-AA1F-6E7EA04E2953}" name="specific_change(code-changed3)_1"/>
    <tableColumn id="13" xr3:uid="{580284E3-5DD3-4067-BE91-2EA03407652F}" name="specific_change(code-changed3)_2"/>
    <tableColumn id="14" xr3:uid="{0501D039-39B7-44FE-8E9D-806F597B5FC7}" name="only_indir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9754-040A-4551-8F70-BC62970F44A3}">
  <dimension ref="A1:Y172"/>
  <sheetViews>
    <sheetView tabSelected="1" zoomScale="52" workbookViewId="0">
      <selection activeCell="T145" sqref="T145"/>
    </sheetView>
  </sheetViews>
  <sheetFormatPr defaultRowHeight="18" x14ac:dyDescent="0.55000000000000004"/>
  <cols>
    <col min="1" max="1" width="120.5" customWidth="1"/>
    <col min="2" max="2" width="22.5" customWidth="1"/>
    <col min="3" max="3" width="13.33203125" customWidth="1"/>
    <col min="4" max="4" width="10.75" customWidth="1"/>
    <col min="5" max="5" width="6.33203125" customWidth="1"/>
    <col min="6" max="6" width="22.08203125" customWidth="1"/>
    <col min="7" max="7" width="17.9140625" customWidth="1"/>
    <col min="8" max="8" width="17.75" customWidth="1"/>
    <col min="9" max="9" width="15.4140625" customWidth="1"/>
    <col min="10" max="10" width="15.08203125" customWidth="1"/>
    <col min="11" max="11" width="35.6640625" customWidth="1"/>
    <col min="12" max="12" width="18.83203125" customWidth="1"/>
    <col min="13" max="13" width="31.58203125" customWidth="1"/>
    <col min="14" max="15" width="17.9140625" customWidth="1"/>
    <col min="16" max="16" width="42.1640625" customWidth="1"/>
    <col min="17" max="17" width="22.58203125" customWidth="1"/>
    <col min="18" max="18" width="27.4140625" customWidth="1"/>
    <col min="19" max="19" width="33.33203125" customWidth="1"/>
    <col min="20" max="20" width="34.4140625" customWidth="1"/>
    <col min="21" max="21" width="42.58203125" customWidth="1"/>
    <col min="22" max="22" width="27.9140625" customWidth="1"/>
    <col min="23" max="23" width="33.4140625" customWidth="1"/>
    <col min="24" max="24" width="34.6640625" customWidth="1"/>
    <col min="25" max="25" width="17.25" customWidth="1"/>
  </cols>
  <sheetData>
    <row r="1" spans="1:25" x14ac:dyDescent="0.55000000000000004">
      <c r="A1" s="3" t="s">
        <v>133</v>
      </c>
      <c r="B1" s="3" t="s">
        <v>134</v>
      </c>
      <c r="C1" s="3" t="s">
        <v>135</v>
      </c>
      <c r="D1" s="3" t="s">
        <v>228</v>
      </c>
      <c r="E1" s="3" t="s">
        <v>136</v>
      </c>
      <c r="F1" s="3" t="s">
        <v>137</v>
      </c>
      <c r="G1" s="3" t="s">
        <v>138</v>
      </c>
      <c r="H1" s="3" t="s">
        <v>139</v>
      </c>
      <c r="I1" s="3" t="s">
        <v>140</v>
      </c>
      <c r="J1" s="3" t="s">
        <v>141</v>
      </c>
      <c r="K1" s="3" t="s">
        <v>142</v>
      </c>
      <c r="L1" s="3" t="s">
        <v>143</v>
      </c>
      <c r="M1" s="3" t="s">
        <v>146</v>
      </c>
      <c r="N1" s="3" t="s">
        <v>147</v>
      </c>
      <c r="O1" s="3" t="s">
        <v>223</v>
      </c>
      <c r="P1" s="3" t="s">
        <v>144</v>
      </c>
      <c r="Q1" s="3" t="s">
        <v>145</v>
      </c>
      <c r="R1" s="3" t="s">
        <v>148</v>
      </c>
      <c r="S1" s="3" t="s">
        <v>151</v>
      </c>
      <c r="T1" s="3" t="s">
        <v>149</v>
      </c>
      <c r="U1" s="3" t="s">
        <v>150</v>
      </c>
      <c r="V1" s="3" t="s">
        <v>216</v>
      </c>
      <c r="W1" s="3" t="s">
        <v>217</v>
      </c>
      <c r="X1" s="3" t="s">
        <v>218</v>
      </c>
      <c r="Y1" s="3" t="s">
        <v>225</v>
      </c>
    </row>
    <row r="2" spans="1:25" x14ac:dyDescent="0.55000000000000004">
      <c r="A2" t="s">
        <v>4</v>
      </c>
      <c r="B2" t="s">
        <v>174</v>
      </c>
      <c r="C2" t="s">
        <v>0</v>
      </c>
      <c r="D2">
        <f t="shared" ref="D2:D33" si="0">E2+F2</f>
        <v>72</v>
      </c>
      <c r="E2">
        <v>51</v>
      </c>
      <c r="F2">
        <v>21</v>
      </c>
      <c r="G2" t="s">
        <v>171</v>
      </c>
      <c r="H2">
        <f>ABS(テーブル1[[#This Row],[after_change]]-テーブル1[[#This Row],[before_change]])</f>
        <v>114.13572927131099</v>
      </c>
      <c r="I2">
        <v>1024.49060513017</v>
      </c>
      <c r="J2">
        <v>910.35487585885903</v>
      </c>
      <c r="K2" t="s">
        <v>169</v>
      </c>
      <c r="L2">
        <v>1</v>
      </c>
      <c r="M2" t="s">
        <v>190</v>
      </c>
      <c r="P2" t="s">
        <v>192</v>
      </c>
      <c r="Q2" t="s">
        <v>212</v>
      </c>
      <c r="Y2">
        <v>1</v>
      </c>
    </row>
    <row r="3" spans="1:25" x14ac:dyDescent="0.55000000000000004">
      <c r="A3" s="1" t="s">
        <v>5</v>
      </c>
      <c r="B3" t="s">
        <v>174</v>
      </c>
      <c r="C3" t="s">
        <v>43</v>
      </c>
      <c r="D3">
        <f t="shared" si="0"/>
        <v>71</v>
      </c>
      <c r="E3">
        <v>35</v>
      </c>
      <c r="F3">
        <v>36</v>
      </c>
      <c r="G3" t="s">
        <v>171</v>
      </c>
      <c r="H3">
        <f>ABS(テーブル1[[#This Row],[after_change]]-テーブル1[[#This Row],[before_change]])</f>
        <v>7.1741401664929754</v>
      </c>
      <c r="I3">
        <v>733.34197108058595</v>
      </c>
      <c r="J3">
        <v>726.16783091409297</v>
      </c>
      <c r="K3" t="s">
        <v>158</v>
      </c>
      <c r="L3">
        <v>1</v>
      </c>
      <c r="M3" t="s">
        <v>189</v>
      </c>
      <c r="P3" t="s">
        <v>124</v>
      </c>
      <c r="Q3" t="s">
        <v>199</v>
      </c>
      <c r="R3" t="s">
        <v>211</v>
      </c>
      <c r="Y3">
        <v>1</v>
      </c>
    </row>
    <row r="4" spans="1:25" x14ac:dyDescent="0.55000000000000004">
      <c r="A4" s="1" t="s">
        <v>5</v>
      </c>
      <c r="B4" t="s">
        <v>174</v>
      </c>
      <c r="C4" s="1" t="s">
        <v>1</v>
      </c>
      <c r="D4">
        <f t="shared" si="0"/>
        <v>3</v>
      </c>
      <c r="E4">
        <v>2</v>
      </c>
      <c r="F4">
        <v>1</v>
      </c>
      <c r="G4" t="s">
        <v>171</v>
      </c>
      <c r="H4">
        <f>ABS(テーブル1[[#This Row],[after_change]]-テーブル1[[#This Row],[before_change]])</f>
        <v>2.6267124555130295</v>
      </c>
      <c r="I4">
        <v>726.16783091409297</v>
      </c>
      <c r="J4">
        <v>723.54111845857994</v>
      </c>
      <c r="K4" t="s">
        <v>176</v>
      </c>
      <c r="L4">
        <v>1</v>
      </c>
      <c r="M4" t="s">
        <v>214</v>
      </c>
      <c r="P4" t="s">
        <v>125</v>
      </c>
      <c r="Q4" t="s">
        <v>200</v>
      </c>
      <c r="R4" t="s">
        <v>211</v>
      </c>
      <c r="Y4">
        <v>1</v>
      </c>
    </row>
    <row r="5" spans="1:25" x14ac:dyDescent="0.55000000000000004">
      <c r="A5" s="1" t="s">
        <v>5</v>
      </c>
      <c r="B5" t="s">
        <v>174</v>
      </c>
      <c r="C5" s="1" t="s">
        <v>1</v>
      </c>
      <c r="D5">
        <f t="shared" si="0"/>
        <v>3</v>
      </c>
      <c r="E5">
        <v>2</v>
      </c>
      <c r="F5">
        <v>1</v>
      </c>
      <c r="G5" t="s">
        <v>171</v>
      </c>
      <c r="H5">
        <f>ABS(テーブル1[[#This Row],[after_change]]-テーブル1[[#This Row],[before_change]])</f>
        <v>2.6267124555130295</v>
      </c>
      <c r="I5">
        <v>726.16783091409297</v>
      </c>
      <c r="J5">
        <v>723.54111845857994</v>
      </c>
      <c r="K5" t="s">
        <v>158</v>
      </c>
      <c r="L5">
        <v>1</v>
      </c>
      <c r="M5" t="s">
        <v>214</v>
      </c>
      <c r="P5" t="s">
        <v>125</v>
      </c>
      <c r="Q5" t="s">
        <v>200</v>
      </c>
      <c r="R5" t="s">
        <v>211</v>
      </c>
      <c r="S5" t="s">
        <v>204</v>
      </c>
      <c r="T5" t="s">
        <v>203</v>
      </c>
      <c r="Y5">
        <v>1</v>
      </c>
    </row>
    <row r="6" spans="1:25" x14ac:dyDescent="0.55000000000000004">
      <c r="A6" t="s">
        <v>74</v>
      </c>
      <c r="B6" t="s">
        <v>157</v>
      </c>
      <c r="C6" t="s">
        <v>17</v>
      </c>
      <c r="D6">
        <f t="shared" si="0"/>
        <v>3</v>
      </c>
      <c r="E6">
        <v>2</v>
      </c>
      <c r="F6">
        <v>1</v>
      </c>
      <c r="G6" t="s">
        <v>153</v>
      </c>
      <c r="H6">
        <f>ABS(テーブル1[[#This Row],[after_change]]-テーブル1[[#This Row],[before_change]])</f>
        <v>50</v>
      </c>
      <c r="I6">
        <v>0</v>
      </c>
      <c r="J6">
        <v>50</v>
      </c>
      <c r="K6" t="s">
        <v>158</v>
      </c>
      <c r="L6">
        <v>1</v>
      </c>
      <c r="M6" t="s">
        <v>214</v>
      </c>
      <c r="P6" t="s">
        <v>125</v>
      </c>
      <c r="Q6" t="s">
        <v>200</v>
      </c>
      <c r="S6" t="s">
        <v>204</v>
      </c>
      <c r="T6" t="s">
        <v>203</v>
      </c>
      <c r="Y6" t="s">
        <v>227</v>
      </c>
    </row>
    <row r="7" spans="1:25" x14ac:dyDescent="0.55000000000000004">
      <c r="A7" t="s">
        <v>6</v>
      </c>
      <c r="B7" t="s">
        <v>174</v>
      </c>
      <c r="C7" t="s">
        <v>1</v>
      </c>
      <c r="D7">
        <f t="shared" si="0"/>
        <v>3</v>
      </c>
      <c r="E7">
        <v>2</v>
      </c>
      <c r="F7">
        <v>1</v>
      </c>
      <c r="G7" t="s">
        <v>153</v>
      </c>
      <c r="H7">
        <f>ABS(テーブル1[[#This Row],[after_change]]-テーブル1[[#This Row],[before_change]])</f>
        <v>100.64757275352798</v>
      </c>
      <c r="I7">
        <v>503.10734441071298</v>
      </c>
      <c r="J7">
        <v>603.75491716424096</v>
      </c>
      <c r="K7" t="s">
        <v>167</v>
      </c>
      <c r="L7">
        <v>1</v>
      </c>
      <c r="M7" t="s">
        <v>215</v>
      </c>
      <c r="P7" t="s">
        <v>198</v>
      </c>
      <c r="Q7" t="s">
        <v>212</v>
      </c>
      <c r="Y7">
        <v>1</v>
      </c>
    </row>
    <row r="8" spans="1:25" x14ac:dyDescent="0.55000000000000004">
      <c r="A8" t="s">
        <v>114</v>
      </c>
      <c r="B8" t="s">
        <v>174</v>
      </c>
      <c r="C8" t="s">
        <v>47</v>
      </c>
      <c r="D8">
        <f t="shared" si="0"/>
        <v>31800</v>
      </c>
      <c r="E8">
        <v>26808</v>
      </c>
      <c r="F8">
        <v>4992</v>
      </c>
      <c r="G8" t="s">
        <v>153</v>
      </c>
      <c r="H8">
        <f>ABS(テーブル1[[#This Row],[after_change]]-テーブル1[[#This Row],[before_change]])</f>
        <v>100.97156477063697</v>
      </c>
      <c r="I8">
        <v>772.24089505801203</v>
      </c>
      <c r="J8">
        <v>873.212459828649</v>
      </c>
      <c r="K8" t="s">
        <v>170</v>
      </c>
      <c r="L8">
        <v>1</v>
      </c>
      <c r="M8" t="s">
        <v>214</v>
      </c>
      <c r="P8" t="s">
        <v>192</v>
      </c>
      <c r="Q8" t="s">
        <v>212</v>
      </c>
      <c r="S8" t="s">
        <v>205</v>
      </c>
      <c r="T8" t="s">
        <v>212</v>
      </c>
      <c r="Y8">
        <v>1</v>
      </c>
    </row>
    <row r="9" spans="1:25" x14ac:dyDescent="0.55000000000000004">
      <c r="A9" t="s">
        <v>7</v>
      </c>
      <c r="B9" t="s">
        <v>174</v>
      </c>
      <c r="C9" t="s">
        <v>43</v>
      </c>
      <c r="D9">
        <f t="shared" si="0"/>
        <v>71</v>
      </c>
      <c r="E9">
        <v>35</v>
      </c>
      <c r="F9">
        <v>36</v>
      </c>
      <c r="G9" t="s">
        <v>153</v>
      </c>
      <c r="H9">
        <f>ABS(テーブル1[[#This Row],[after_change]]-テーブル1[[#This Row],[before_change]])</f>
        <v>0.80336468168002284</v>
      </c>
      <c r="I9">
        <v>1012.21440416544</v>
      </c>
      <c r="J9">
        <v>1013.01776884712</v>
      </c>
      <c r="K9" t="s">
        <v>172</v>
      </c>
      <c r="L9">
        <v>1</v>
      </c>
      <c r="M9" t="s">
        <v>215</v>
      </c>
      <c r="P9" t="s">
        <v>126</v>
      </c>
      <c r="Q9" t="s">
        <v>199</v>
      </c>
      <c r="R9" t="s">
        <v>220</v>
      </c>
      <c r="Y9">
        <v>0</v>
      </c>
    </row>
    <row r="10" spans="1:25" x14ac:dyDescent="0.55000000000000004">
      <c r="A10" t="s">
        <v>7</v>
      </c>
      <c r="B10" t="s">
        <v>174</v>
      </c>
      <c r="C10" t="s">
        <v>2</v>
      </c>
      <c r="D10">
        <f t="shared" si="0"/>
        <v>2</v>
      </c>
      <c r="E10">
        <v>1</v>
      </c>
      <c r="F10">
        <v>1</v>
      </c>
      <c r="G10" t="s">
        <v>153</v>
      </c>
      <c r="H10">
        <f>ABS(テーブル1[[#This Row],[after_change]]-テーブル1[[#This Row],[before_change]])</f>
        <v>0.59556966022000779</v>
      </c>
      <c r="I10">
        <v>1013.01776884712</v>
      </c>
      <c r="J10">
        <v>1013.61333850734</v>
      </c>
      <c r="K10" t="s">
        <v>172</v>
      </c>
      <c r="L10">
        <v>0</v>
      </c>
      <c r="Y10" t="s">
        <v>227</v>
      </c>
    </row>
    <row r="11" spans="1:25" x14ac:dyDescent="0.55000000000000004">
      <c r="A11" t="s">
        <v>7</v>
      </c>
      <c r="B11" t="s">
        <v>157</v>
      </c>
      <c r="C11" t="s">
        <v>2</v>
      </c>
      <c r="D11">
        <f t="shared" si="0"/>
        <v>2</v>
      </c>
      <c r="E11">
        <v>1</v>
      </c>
      <c r="F11">
        <v>1</v>
      </c>
      <c r="G11" t="s">
        <v>171</v>
      </c>
      <c r="H11">
        <f>ABS(テーブル1[[#This Row],[after_change]]-テーブル1[[#This Row],[before_change]])</f>
        <v>1</v>
      </c>
      <c r="I11">
        <v>511</v>
      </c>
      <c r="J11">
        <v>510</v>
      </c>
      <c r="K11" t="s">
        <v>172</v>
      </c>
      <c r="L11">
        <v>0</v>
      </c>
      <c r="Y11" t="s">
        <v>227</v>
      </c>
    </row>
    <row r="12" spans="1:25" x14ac:dyDescent="0.55000000000000004">
      <c r="A12" t="s">
        <v>7</v>
      </c>
      <c r="B12" t="s">
        <v>157</v>
      </c>
      <c r="C12" t="s">
        <v>17</v>
      </c>
      <c r="D12">
        <f t="shared" si="0"/>
        <v>3</v>
      </c>
      <c r="E12">
        <v>2</v>
      </c>
      <c r="F12">
        <v>1</v>
      </c>
      <c r="G12" t="s">
        <v>171</v>
      </c>
      <c r="H12">
        <f>ABS(テーブル1[[#This Row],[after_change]]-テーブル1[[#This Row],[before_change]])</f>
        <v>71</v>
      </c>
      <c r="I12">
        <v>510</v>
      </c>
      <c r="J12">
        <v>439</v>
      </c>
      <c r="K12" t="s">
        <v>172</v>
      </c>
      <c r="L12">
        <v>0</v>
      </c>
      <c r="Y12" t="s">
        <v>227</v>
      </c>
    </row>
    <row r="13" spans="1:25" x14ac:dyDescent="0.55000000000000004">
      <c r="A13" t="s">
        <v>101</v>
      </c>
      <c r="B13" t="s">
        <v>174</v>
      </c>
      <c r="C13" t="s">
        <v>45</v>
      </c>
      <c r="D13">
        <f t="shared" si="0"/>
        <v>42</v>
      </c>
      <c r="E13">
        <v>40</v>
      </c>
      <c r="F13">
        <v>2</v>
      </c>
      <c r="G13" t="s">
        <v>171</v>
      </c>
      <c r="H13">
        <f>ABS(テーブル1[[#This Row],[after_change]]-テーブル1[[#This Row],[before_change]])</f>
        <v>502.9819805704401</v>
      </c>
      <c r="I13">
        <v>2495.29425930769</v>
      </c>
      <c r="J13">
        <v>1992.3122787372499</v>
      </c>
      <c r="K13" t="s">
        <v>154</v>
      </c>
      <c r="L13">
        <v>0</v>
      </c>
      <c r="Y13" t="s">
        <v>227</v>
      </c>
    </row>
    <row r="14" spans="1:25" x14ac:dyDescent="0.55000000000000004">
      <c r="A14" t="s">
        <v>44</v>
      </c>
      <c r="B14" t="s">
        <v>174</v>
      </c>
      <c r="C14" t="s">
        <v>46</v>
      </c>
      <c r="D14">
        <f t="shared" si="0"/>
        <v>121</v>
      </c>
      <c r="E14">
        <v>96</v>
      </c>
      <c r="F14">
        <v>25</v>
      </c>
      <c r="G14" t="s">
        <v>153</v>
      </c>
      <c r="H14">
        <f>ABS(テーブル1[[#This Row],[after_change]]-テーブル1[[#This Row],[before_change]])</f>
        <v>502.9819805704401</v>
      </c>
      <c r="I14">
        <v>1992.3122787372499</v>
      </c>
      <c r="J14">
        <v>2495.29425930769</v>
      </c>
      <c r="K14" t="s">
        <v>154</v>
      </c>
      <c r="L14">
        <v>0</v>
      </c>
      <c r="Y14" t="s">
        <v>227</v>
      </c>
    </row>
    <row r="15" spans="1:25" x14ac:dyDescent="0.55000000000000004">
      <c r="A15" t="s">
        <v>101</v>
      </c>
      <c r="B15" t="s">
        <v>152</v>
      </c>
      <c r="C15" t="s">
        <v>45</v>
      </c>
      <c r="D15">
        <f t="shared" si="0"/>
        <v>42</v>
      </c>
      <c r="E15">
        <v>40</v>
      </c>
      <c r="F15">
        <v>2</v>
      </c>
      <c r="G15" t="s">
        <v>171</v>
      </c>
      <c r="H15">
        <f>ABS(テーブル1[[#This Row],[after_change]]-テーブル1[[#This Row],[before_change]])</f>
        <v>1</v>
      </c>
      <c r="I15">
        <v>4</v>
      </c>
      <c r="J15">
        <v>3</v>
      </c>
      <c r="K15" t="s">
        <v>154</v>
      </c>
      <c r="L15">
        <v>0</v>
      </c>
      <c r="Y15" t="s">
        <v>227</v>
      </c>
    </row>
    <row r="16" spans="1:25" x14ac:dyDescent="0.55000000000000004">
      <c r="A16" t="s">
        <v>44</v>
      </c>
      <c r="B16" t="s">
        <v>152</v>
      </c>
      <c r="C16" t="s">
        <v>46</v>
      </c>
      <c r="D16">
        <f t="shared" si="0"/>
        <v>121</v>
      </c>
      <c r="E16">
        <v>96</v>
      </c>
      <c r="F16">
        <v>25</v>
      </c>
      <c r="G16" t="s">
        <v>153</v>
      </c>
      <c r="H16">
        <f>ABS(テーブル1[[#This Row],[after_change]]-テーブル1[[#This Row],[before_change]])</f>
        <v>1</v>
      </c>
      <c r="I16">
        <v>3</v>
      </c>
      <c r="J16">
        <v>4</v>
      </c>
      <c r="K16" t="s">
        <v>154</v>
      </c>
      <c r="L16">
        <v>0</v>
      </c>
      <c r="Y16" t="s">
        <v>227</v>
      </c>
    </row>
    <row r="17" spans="1:25" x14ac:dyDescent="0.55000000000000004">
      <c r="A17" t="s">
        <v>8</v>
      </c>
      <c r="B17" t="s">
        <v>174</v>
      </c>
      <c r="C17" t="s">
        <v>3</v>
      </c>
      <c r="D17">
        <f t="shared" si="0"/>
        <v>323</v>
      </c>
      <c r="E17">
        <v>26</v>
      </c>
      <c r="F17">
        <v>297</v>
      </c>
      <c r="G17" t="s">
        <v>153</v>
      </c>
      <c r="H17">
        <f>ABS(テーブル1[[#This Row],[after_change]]-テーブル1[[#This Row],[before_change]])</f>
        <v>13.45248887355001</v>
      </c>
      <c r="I17">
        <v>1245.7117298563701</v>
      </c>
      <c r="J17">
        <v>1259.1642187299201</v>
      </c>
      <c r="K17" t="s">
        <v>162</v>
      </c>
      <c r="L17">
        <v>1</v>
      </c>
      <c r="M17" t="s">
        <v>214</v>
      </c>
      <c r="P17" t="s">
        <v>197</v>
      </c>
      <c r="Q17" t="s">
        <v>212</v>
      </c>
      <c r="S17" t="s">
        <v>206</v>
      </c>
      <c r="T17" t="s">
        <v>212</v>
      </c>
      <c r="Y17">
        <v>1</v>
      </c>
    </row>
    <row r="18" spans="1:25" x14ac:dyDescent="0.55000000000000004">
      <c r="A18" t="s">
        <v>8</v>
      </c>
      <c r="B18" t="s">
        <v>174</v>
      </c>
      <c r="C18" t="s">
        <v>1</v>
      </c>
      <c r="D18">
        <f t="shared" si="0"/>
        <v>3</v>
      </c>
      <c r="E18">
        <v>2</v>
      </c>
      <c r="F18">
        <v>1</v>
      </c>
      <c r="G18" t="s">
        <v>153</v>
      </c>
      <c r="H18">
        <f>ABS(テーブル1[[#This Row],[after_change]]-テーブル1[[#This Row],[before_change]])</f>
        <v>20.391802812759806</v>
      </c>
      <c r="I18">
        <v>1259.1642187299201</v>
      </c>
      <c r="J18">
        <v>1279.5560215426799</v>
      </c>
      <c r="K18" t="s">
        <v>162</v>
      </c>
      <c r="L18">
        <v>1</v>
      </c>
      <c r="M18" t="s">
        <v>214</v>
      </c>
      <c r="P18" t="s">
        <v>127</v>
      </c>
      <c r="Q18" t="s">
        <v>200</v>
      </c>
      <c r="R18" t="s">
        <v>211</v>
      </c>
      <c r="Y18">
        <v>1</v>
      </c>
    </row>
    <row r="19" spans="1:25" x14ac:dyDescent="0.55000000000000004">
      <c r="A19" t="s">
        <v>56</v>
      </c>
      <c r="B19" t="s">
        <v>174</v>
      </c>
      <c r="C19" t="s">
        <v>51</v>
      </c>
      <c r="D19">
        <f t="shared" si="0"/>
        <v>2</v>
      </c>
      <c r="E19">
        <v>0</v>
      </c>
      <c r="F19">
        <v>2</v>
      </c>
      <c r="G19" t="s">
        <v>171</v>
      </c>
      <c r="H19">
        <f>ABS(テーブル1[[#This Row],[after_change]]-テーブル1[[#This Row],[before_change]])</f>
        <v>1043.76719125258</v>
      </c>
      <c r="I19">
        <v>1043.76719125258</v>
      </c>
      <c r="J19">
        <v>0</v>
      </c>
      <c r="K19" t="s">
        <v>155</v>
      </c>
      <c r="L19">
        <v>0</v>
      </c>
      <c r="Q19" t="s">
        <v>200</v>
      </c>
      <c r="Y19" t="s">
        <v>227</v>
      </c>
    </row>
    <row r="20" spans="1:25" x14ac:dyDescent="0.55000000000000004">
      <c r="A20" t="s">
        <v>56</v>
      </c>
      <c r="B20" t="s">
        <v>174</v>
      </c>
      <c r="C20" t="s">
        <v>51</v>
      </c>
      <c r="D20">
        <f t="shared" si="0"/>
        <v>2</v>
      </c>
      <c r="E20">
        <v>0</v>
      </c>
      <c r="F20">
        <v>2</v>
      </c>
      <c r="G20" t="s">
        <v>171</v>
      </c>
      <c r="H20">
        <f>ABS(テーブル1[[#This Row],[after_change]]-テーブル1[[#This Row],[before_change]])</f>
        <v>1043.76719125258</v>
      </c>
      <c r="I20">
        <v>1043.76719125258</v>
      </c>
      <c r="J20">
        <v>0</v>
      </c>
      <c r="K20" t="s">
        <v>156</v>
      </c>
      <c r="L20">
        <v>0</v>
      </c>
      <c r="Y20" t="s">
        <v>227</v>
      </c>
    </row>
    <row r="21" spans="1:25" x14ac:dyDescent="0.55000000000000004">
      <c r="A21" t="s">
        <v>50</v>
      </c>
      <c r="B21" t="s">
        <v>174</v>
      </c>
      <c r="C21" t="s">
        <v>52</v>
      </c>
      <c r="D21">
        <f t="shared" si="0"/>
        <v>132</v>
      </c>
      <c r="E21">
        <v>108</v>
      </c>
      <c r="F21">
        <v>24</v>
      </c>
      <c r="G21" t="s">
        <v>153</v>
      </c>
      <c r="H21">
        <f>ABS(テーブル1[[#This Row],[after_change]]-テーブル1[[#This Row],[before_change]])</f>
        <v>1043.76719125258</v>
      </c>
      <c r="I21">
        <v>0</v>
      </c>
      <c r="J21">
        <v>1043.76719125258</v>
      </c>
      <c r="K21" t="s">
        <v>155</v>
      </c>
      <c r="L21">
        <v>0</v>
      </c>
      <c r="Y21" t="s">
        <v>227</v>
      </c>
    </row>
    <row r="22" spans="1:25" x14ac:dyDescent="0.55000000000000004">
      <c r="A22" t="s">
        <v>56</v>
      </c>
      <c r="B22" t="s">
        <v>174</v>
      </c>
      <c r="C22" t="s">
        <v>52</v>
      </c>
      <c r="D22">
        <f t="shared" si="0"/>
        <v>132</v>
      </c>
      <c r="E22">
        <v>108</v>
      </c>
      <c r="F22">
        <v>24</v>
      </c>
      <c r="G22" t="s">
        <v>153</v>
      </c>
      <c r="H22">
        <f>ABS(テーブル1[[#This Row],[after_change]]-テーブル1[[#This Row],[before_change]])</f>
        <v>1043.76719125258</v>
      </c>
      <c r="I22">
        <v>0</v>
      </c>
      <c r="J22">
        <v>1043.76719125258</v>
      </c>
      <c r="K22" t="s">
        <v>156</v>
      </c>
      <c r="L22">
        <v>0</v>
      </c>
      <c r="Y22" t="s">
        <v>227</v>
      </c>
    </row>
    <row r="23" spans="1:25" x14ac:dyDescent="0.55000000000000004">
      <c r="A23" t="s">
        <v>50</v>
      </c>
      <c r="B23" t="s">
        <v>152</v>
      </c>
      <c r="C23" t="s">
        <v>51</v>
      </c>
      <c r="D23">
        <f t="shared" si="0"/>
        <v>2</v>
      </c>
      <c r="E23">
        <v>0</v>
      </c>
      <c r="F23">
        <v>2</v>
      </c>
      <c r="G23" t="s">
        <v>171</v>
      </c>
      <c r="H23">
        <f>ABS(テーブル1[[#This Row],[after_change]]-テーブル1[[#This Row],[before_change]])</f>
        <v>2</v>
      </c>
      <c r="I23">
        <v>2</v>
      </c>
      <c r="J23">
        <v>0</v>
      </c>
      <c r="K23" t="s">
        <v>155</v>
      </c>
      <c r="L23">
        <v>0</v>
      </c>
      <c r="Y23" t="s">
        <v>227</v>
      </c>
    </row>
    <row r="24" spans="1:25" x14ac:dyDescent="0.55000000000000004">
      <c r="A24" t="s">
        <v>50</v>
      </c>
      <c r="B24" t="s">
        <v>152</v>
      </c>
      <c r="C24" t="s">
        <v>51</v>
      </c>
      <c r="D24">
        <f t="shared" si="0"/>
        <v>2</v>
      </c>
      <c r="E24">
        <v>0</v>
      </c>
      <c r="F24">
        <v>2</v>
      </c>
      <c r="G24" t="s">
        <v>171</v>
      </c>
      <c r="H24">
        <f>ABS(テーブル1[[#This Row],[after_change]]-テーブル1[[#This Row],[before_change]])</f>
        <v>2</v>
      </c>
      <c r="I24">
        <v>2</v>
      </c>
      <c r="J24">
        <v>0</v>
      </c>
      <c r="K24" t="s">
        <v>156</v>
      </c>
      <c r="L24">
        <v>0</v>
      </c>
      <c r="Y24" t="s">
        <v>227</v>
      </c>
    </row>
    <row r="25" spans="1:25" x14ac:dyDescent="0.55000000000000004">
      <c r="A25" t="s">
        <v>50</v>
      </c>
      <c r="B25" t="s">
        <v>152</v>
      </c>
      <c r="C25" t="s">
        <v>52</v>
      </c>
      <c r="D25">
        <f t="shared" si="0"/>
        <v>132</v>
      </c>
      <c r="E25">
        <v>108</v>
      </c>
      <c r="F25">
        <v>24</v>
      </c>
      <c r="G25" t="s">
        <v>153</v>
      </c>
      <c r="H25">
        <f>ABS(テーブル1[[#This Row],[after_change]]-テーブル1[[#This Row],[before_change]])</f>
        <v>2</v>
      </c>
      <c r="I25">
        <v>0</v>
      </c>
      <c r="J25">
        <v>2</v>
      </c>
      <c r="K25" t="s">
        <v>155</v>
      </c>
      <c r="L25">
        <v>0</v>
      </c>
      <c r="Y25" t="s">
        <v>227</v>
      </c>
    </row>
    <row r="26" spans="1:25" x14ac:dyDescent="0.55000000000000004">
      <c r="A26" t="s">
        <v>56</v>
      </c>
      <c r="B26" t="s">
        <v>152</v>
      </c>
      <c r="C26" t="s">
        <v>52</v>
      </c>
      <c r="D26">
        <f t="shared" si="0"/>
        <v>132</v>
      </c>
      <c r="E26">
        <v>108</v>
      </c>
      <c r="F26">
        <v>24</v>
      </c>
      <c r="G26" t="s">
        <v>153</v>
      </c>
      <c r="H26">
        <f>ABS(テーブル1[[#This Row],[after_change]]-テーブル1[[#This Row],[before_change]])</f>
        <v>2</v>
      </c>
      <c r="I26">
        <v>0</v>
      </c>
      <c r="J26">
        <v>2</v>
      </c>
      <c r="K26" t="s">
        <v>156</v>
      </c>
      <c r="L26">
        <v>0</v>
      </c>
      <c r="Y26" t="s">
        <v>227</v>
      </c>
    </row>
    <row r="27" spans="1:25" x14ac:dyDescent="0.55000000000000004">
      <c r="A27" t="s">
        <v>9</v>
      </c>
      <c r="B27" t="s">
        <v>174</v>
      </c>
      <c r="C27" t="s">
        <v>2</v>
      </c>
      <c r="D27">
        <f t="shared" si="0"/>
        <v>2</v>
      </c>
      <c r="E27">
        <v>1</v>
      </c>
      <c r="F27">
        <v>1</v>
      </c>
      <c r="G27" t="s">
        <v>153</v>
      </c>
      <c r="H27">
        <f>ABS(テーブル1[[#This Row],[after_change]]-テーブル1[[#This Row],[before_change]])</f>
        <v>0.31528972017986234</v>
      </c>
      <c r="I27">
        <v>1046.6116197459201</v>
      </c>
      <c r="J27">
        <v>1046.9269094660999</v>
      </c>
      <c r="K27" t="s">
        <v>173</v>
      </c>
      <c r="L27">
        <v>0</v>
      </c>
      <c r="Y27" t="s">
        <v>227</v>
      </c>
    </row>
    <row r="28" spans="1:25" x14ac:dyDescent="0.55000000000000004">
      <c r="A28" t="s">
        <v>9</v>
      </c>
      <c r="B28" t="s">
        <v>157</v>
      </c>
      <c r="C28" t="s">
        <v>2</v>
      </c>
      <c r="D28">
        <f t="shared" si="0"/>
        <v>2</v>
      </c>
      <c r="E28">
        <v>1</v>
      </c>
      <c r="F28">
        <v>1</v>
      </c>
      <c r="G28" t="s">
        <v>171</v>
      </c>
      <c r="H28">
        <f>ABS(テーブル1[[#This Row],[after_change]]-テーブル1[[#This Row],[before_change]])</f>
        <v>1</v>
      </c>
      <c r="I28">
        <v>115</v>
      </c>
      <c r="J28">
        <v>114</v>
      </c>
      <c r="K28" t="s">
        <v>173</v>
      </c>
      <c r="L28">
        <v>0</v>
      </c>
      <c r="Y28" t="s">
        <v>227</v>
      </c>
    </row>
    <row r="29" spans="1:25" x14ac:dyDescent="0.55000000000000004">
      <c r="A29" t="s">
        <v>10</v>
      </c>
      <c r="B29" t="s">
        <v>174</v>
      </c>
      <c r="C29" t="s">
        <v>1</v>
      </c>
      <c r="D29">
        <f t="shared" si="0"/>
        <v>3</v>
      </c>
      <c r="E29">
        <v>2</v>
      </c>
      <c r="F29">
        <v>1</v>
      </c>
      <c r="G29" t="s">
        <v>153</v>
      </c>
      <c r="H29">
        <f>ABS(テーブル1[[#This Row],[after_change]]-テーブル1[[#This Row],[before_change]])</f>
        <v>35.529617516316023</v>
      </c>
      <c r="I29">
        <v>296.339332522701</v>
      </c>
      <c r="J29">
        <v>331.86895003901702</v>
      </c>
      <c r="K29" t="s">
        <v>177</v>
      </c>
      <c r="L29">
        <v>1</v>
      </c>
      <c r="M29" t="s">
        <v>214</v>
      </c>
      <c r="P29" t="s">
        <v>128</v>
      </c>
      <c r="Q29" t="s">
        <v>200</v>
      </c>
      <c r="R29" t="s">
        <v>211</v>
      </c>
      <c r="Y29">
        <v>1</v>
      </c>
    </row>
    <row r="30" spans="1:25" x14ac:dyDescent="0.55000000000000004">
      <c r="A30" t="s">
        <v>11</v>
      </c>
      <c r="B30" t="s">
        <v>174</v>
      </c>
      <c r="C30" t="s">
        <v>1</v>
      </c>
      <c r="D30">
        <f t="shared" si="0"/>
        <v>3</v>
      </c>
      <c r="E30">
        <v>2</v>
      </c>
      <c r="F30">
        <v>1</v>
      </c>
      <c r="G30" t="s">
        <v>153</v>
      </c>
      <c r="H30">
        <f>ABS(テーブル1[[#This Row],[after_change]]-テーブル1[[#This Row],[before_change]])</f>
        <v>45.427914379397009</v>
      </c>
      <c r="I30">
        <v>322.88852565552702</v>
      </c>
      <c r="J30">
        <v>368.31644003492403</v>
      </c>
      <c r="K30" t="s">
        <v>178</v>
      </c>
      <c r="L30">
        <v>1</v>
      </c>
      <c r="M30" t="s">
        <v>188</v>
      </c>
      <c r="P30" t="s">
        <v>128</v>
      </c>
      <c r="Q30" t="s">
        <v>200</v>
      </c>
      <c r="S30" t="s">
        <v>178</v>
      </c>
      <c r="T30" t="s">
        <v>212</v>
      </c>
      <c r="Y30">
        <v>0</v>
      </c>
    </row>
    <row r="31" spans="1:25" x14ac:dyDescent="0.55000000000000004">
      <c r="A31" t="s">
        <v>123</v>
      </c>
      <c r="B31" t="s">
        <v>174</v>
      </c>
      <c r="C31" t="s">
        <v>54</v>
      </c>
      <c r="D31">
        <f t="shared" si="0"/>
        <v>4</v>
      </c>
      <c r="E31">
        <v>2</v>
      </c>
      <c r="F31">
        <v>2</v>
      </c>
      <c r="G31" t="s">
        <v>171</v>
      </c>
      <c r="H31">
        <f>ABS(テーブル1[[#This Row],[after_change]]-テーブル1[[#This Row],[before_change]])</f>
        <v>502.9819805704401</v>
      </c>
      <c r="I31">
        <v>2495.29425930769</v>
      </c>
      <c r="J31">
        <v>1992.3122787372499</v>
      </c>
      <c r="K31" t="s">
        <v>154</v>
      </c>
      <c r="L31">
        <v>0</v>
      </c>
      <c r="Y31" t="s">
        <v>227</v>
      </c>
    </row>
    <row r="32" spans="1:25" x14ac:dyDescent="0.55000000000000004">
      <c r="A32" t="s">
        <v>123</v>
      </c>
      <c r="B32" t="s">
        <v>174</v>
      </c>
      <c r="C32" t="s">
        <v>55</v>
      </c>
      <c r="D32">
        <f t="shared" si="0"/>
        <v>42</v>
      </c>
      <c r="E32">
        <v>15</v>
      </c>
      <c r="F32">
        <v>27</v>
      </c>
      <c r="G32" t="s">
        <v>153</v>
      </c>
      <c r="H32">
        <f>ABS(テーブル1[[#This Row],[after_change]]-テーブル1[[#This Row],[before_change]])</f>
        <v>502.9819805704401</v>
      </c>
      <c r="I32">
        <v>1992.3122787372499</v>
      </c>
      <c r="J32">
        <v>2495.29425930769</v>
      </c>
      <c r="K32" t="s">
        <v>154</v>
      </c>
      <c r="L32">
        <v>0</v>
      </c>
      <c r="Y32" t="s">
        <v>227</v>
      </c>
    </row>
    <row r="33" spans="1:25" x14ac:dyDescent="0.55000000000000004">
      <c r="A33" t="s">
        <v>53</v>
      </c>
      <c r="B33" t="s">
        <v>152</v>
      </c>
      <c r="C33" t="s">
        <v>54</v>
      </c>
      <c r="D33">
        <f t="shared" si="0"/>
        <v>4</v>
      </c>
      <c r="E33">
        <v>2</v>
      </c>
      <c r="F33">
        <v>2</v>
      </c>
      <c r="G33" t="s">
        <v>171</v>
      </c>
      <c r="H33">
        <f>ABS(テーブル1[[#This Row],[after_change]]-テーブル1[[#This Row],[before_change]])</f>
        <v>1</v>
      </c>
      <c r="I33">
        <v>4</v>
      </c>
      <c r="J33">
        <v>3</v>
      </c>
      <c r="K33" t="s">
        <v>154</v>
      </c>
      <c r="L33">
        <v>0</v>
      </c>
      <c r="Y33" t="s">
        <v>227</v>
      </c>
    </row>
    <row r="34" spans="1:25" x14ac:dyDescent="0.55000000000000004">
      <c r="A34" t="s">
        <v>53</v>
      </c>
      <c r="B34" t="s">
        <v>152</v>
      </c>
      <c r="C34" t="s">
        <v>55</v>
      </c>
      <c r="D34">
        <f t="shared" ref="D34:D65" si="1">E34+F34</f>
        <v>42</v>
      </c>
      <c r="E34">
        <v>15</v>
      </c>
      <c r="F34">
        <v>27</v>
      </c>
      <c r="G34" t="s">
        <v>153</v>
      </c>
      <c r="H34">
        <f>ABS(テーブル1[[#This Row],[after_change]]-テーブル1[[#This Row],[before_change]])</f>
        <v>1</v>
      </c>
      <c r="I34">
        <v>3</v>
      </c>
      <c r="J34">
        <v>4</v>
      </c>
      <c r="K34" t="s">
        <v>154</v>
      </c>
      <c r="L34">
        <v>0</v>
      </c>
      <c r="Y34" t="s">
        <v>227</v>
      </c>
    </row>
    <row r="35" spans="1:25" x14ac:dyDescent="0.55000000000000004">
      <c r="A35" t="s">
        <v>12</v>
      </c>
      <c r="B35" t="s">
        <v>174</v>
      </c>
      <c r="C35" t="s">
        <v>1</v>
      </c>
      <c r="D35">
        <f t="shared" si="1"/>
        <v>3</v>
      </c>
      <c r="E35">
        <v>2</v>
      </c>
      <c r="F35">
        <v>1</v>
      </c>
      <c r="G35" t="s">
        <v>153</v>
      </c>
      <c r="H35">
        <f>ABS(テーブル1[[#This Row],[after_change]]-テーブル1[[#This Row],[before_change]])</f>
        <v>100.64757275352798</v>
      </c>
      <c r="I35">
        <v>503.10734441071298</v>
      </c>
      <c r="J35">
        <v>603.75491716424096</v>
      </c>
      <c r="K35" t="s">
        <v>167</v>
      </c>
      <c r="L35">
        <v>1</v>
      </c>
      <c r="M35" t="s">
        <v>215</v>
      </c>
      <c r="P35" t="s">
        <v>198</v>
      </c>
      <c r="Q35" t="s">
        <v>212</v>
      </c>
      <c r="Y35">
        <v>1</v>
      </c>
    </row>
    <row r="36" spans="1:25" x14ac:dyDescent="0.55000000000000004">
      <c r="A36" t="s">
        <v>13</v>
      </c>
      <c r="B36" t="s">
        <v>174</v>
      </c>
      <c r="C36" t="s">
        <v>1</v>
      </c>
      <c r="D36">
        <f t="shared" si="1"/>
        <v>3</v>
      </c>
      <c r="E36">
        <v>2</v>
      </c>
      <c r="F36">
        <v>1</v>
      </c>
      <c r="G36" t="s">
        <v>153</v>
      </c>
      <c r="H36">
        <f>ABS(テーブル1[[#This Row],[after_change]]-テーブル1[[#This Row],[before_change]])</f>
        <v>100.64757275352798</v>
      </c>
      <c r="I36">
        <v>503.10734441071298</v>
      </c>
      <c r="J36">
        <v>603.75491716424096</v>
      </c>
      <c r="K36" t="s">
        <v>167</v>
      </c>
      <c r="L36">
        <v>1</v>
      </c>
      <c r="M36" t="s">
        <v>215</v>
      </c>
      <c r="P36" t="s">
        <v>198</v>
      </c>
      <c r="Q36" t="s">
        <v>212</v>
      </c>
      <c r="Y36">
        <v>1</v>
      </c>
    </row>
    <row r="37" spans="1:25" x14ac:dyDescent="0.55000000000000004">
      <c r="A37" t="s">
        <v>14</v>
      </c>
      <c r="B37" t="s">
        <v>174</v>
      </c>
      <c r="C37" t="s">
        <v>1</v>
      </c>
      <c r="D37">
        <f t="shared" si="1"/>
        <v>3</v>
      </c>
      <c r="E37">
        <v>2</v>
      </c>
      <c r="F37">
        <v>1</v>
      </c>
      <c r="G37" t="s">
        <v>153</v>
      </c>
      <c r="H37">
        <f>ABS(テーブル1[[#This Row],[after_change]]-テーブル1[[#This Row],[before_change]])</f>
        <v>100.64757275352798</v>
      </c>
      <c r="I37">
        <v>503.10734441071298</v>
      </c>
      <c r="J37">
        <v>603.75491716424096</v>
      </c>
      <c r="K37" t="s">
        <v>167</v>
      </c>
      <c r="L37">
        <v>1</v>
      </c>
      <c r="M37" t="s">
        <v>215</v>
      </c>
      <c r="P37" t="s">
        <v>198</v>
      </c>
      <c r="Q37" t="s">
        <v>212</v>
      </c>
      <c r="Y37">
        <v>1</v>
      </c>
    </row>
    <row r="38" spans="1:25" x14ac:dyDescent="0.55000000000000004">
      <c r="A38" t="s">
        <v>15</v>
      </c>
      <c r="B38" t="s">
        <v>174</v>
      </c>
      <c r="C38" t="s">
        <v>1</v>
      </c>
      <c r="D38">
        <f t="shared" si="1"/>
        <v>3</v>
      </c>
      <c r="E38">
        <v>2</v>
      </c>
      <c r="F38">
        <v>1</v>
      </c>
      <c r="G38" t="s">
        <v>153</v>
      </c>
      <c r="H38">
        <f>ABS(テーブル1[[#This Row],[after_change]]-テーブル1[[#This Row],[before_change]])</f>
        <v>99.660444749203066</v>
      </c>
      <c r="I38">
        <v>511.07435858199699</v>
      </c>
      <c r="J38">
        <v>610.73480333120006</v>
      </c>
      <c r="K38" t="s">
        <v>167</v>
      </c>
      <c r="L38">
        <v>1</v>
      </c>
      <c r="M38" t="s">
        <v>215</v>
      </c>
      <c r="P38" t="s">
        <v>198</v>
      </c>
      <c r="Q38" t="s">
        <v>212</v>
      </c>
      <c r="Y38">
        <v>1</v>
      </c>
    </row>
    <row r="39" spans="1:25" x14ac:dyDescent="0.55000000000000004">
      <c r="A39" t="s">
        <v>117</v>
      </c>
      <c r="B39" t="s">
        <v>174</v>
      </c>
      <c r="C39" t="s">
        <v>58</v>
      </c>
      <c r="D39">
        <f t="shared" si="1"/>
        <v>37</v>
      </c>
      <c r="E39">
        <v>36</v>
      </c>
      <c r="F39">
        <v>1</v>
      </c>
      <c r="G39" t="s">
        <v>153</v>
      </c>
      <c r="H39">
        <f>ABS(テーブル1[[#This Row],[after_change]]-テーブル1[[#This Row],[before_change]])</f>
        <v>52.67829310505897</v>
      </c>
      <c r="I39">
        <v>779.19188907482805</v>
      </c>
      <c r="J39">
        <v>831.87018217988702</v>
      </c>
      <c r="K39" t="s">
        <v>170</v>
      </c>
      <c r="L39">
        <v>1</v>
      </c>
      <c r="M39" t="s">
        <v>214</v>
      </c>
      <c r="P39" t="s">
        <v>192</v>
      </c>
      <c r="Q39" t="s">
        <v>212</v>
      </c>
      <c r="Y39">
        <v>1</v>
      </c>
    </row>
    <row r="40" spans="1:25" x14ac:dyDescent="0.55000000000000004">
      <c r="A40" t="s">
        <v>117</v>
      </c>
      <c r="B40" t="s">
        <v>174</v>
      </c>
      <c r="C40" t="s">
        <v>59</v>
      </c>
      <c r="D40">
        <f t="shared" si="1"/>
        <v>237</v>
      </c>
      <c r="E40">
        <v>118</v>
      </c>
      <c r="F40">
        <v>119</v>
      </c>
      <c r="G40" t="s">
        <v>171</v>
      </c>
      <c r="H40">
        <f>ABS(テーブル1[[#This Row],[after_change]]-テーブル1[[#This Row],[before_change]])</f>
        <v>22.519825412188993</v>
      </c>
      <c r="I40">
        <v>831.87018217988702</v>
      </c>
      <c r="J40">
        <v>809.35035676769803</v>
      </c>
      <c r="K40" t="s">
        <v>170</v>
      </c>
      <c r="L40">
        <v>0</v>
      </c>
      <c r="Y40" t="s">
        <v>227</v>
      </c>
    </row>
    <row r="41" spans="1:25" x14ac:dyDescent="0.55000000000000004">
      <c r="A41" t="s">
        <v>57</v>
      </c>
      <c r="B41" t="s">
        <v>174</v>
      </c>
      <c r="C41" t="s">
        <v>60</v>
      </c>
      <c r="D41">
        <f t="shared" si="1"/>
        <v>3</v>
      </c>
      <c r="E41">
        <v>1</v>
      </c>
      <c r="F41">
        <v>2</v>
      </c>
      <c r="G41" t="s">
        <v>153</v>
      </c>
      <c r="H41">
        <f>ABS(テーブル1[[#This Row],[after_change]]-テーブル1[[#This Row],[before_change]])</f>
        <v>22.519825412188993</v>
      </c>
      <c r="I41">
        <v>809.35035676769803</v>
      </c>
      <c r="J41">
        <v>831.87018217988702</v>
      </c>
      <c r="K41" t="s">
        <v>170</v>
      </c>
      <c r="L41">
        <v>0</v>
      </c>
      <c r="Y41" t="s">
        <v>227</v>
      </c>
    </row>
    <row r="42" spans="1:25" x14ac:dyDescent="0.55000000000000004">
      <c r="A42" t="s">
        <v>16</v>
      </c>
      <c r="B42" t="s">
        <v>174</v>
      </c>
      <c r="C42" t="s">
        <v>3</v>
      </c>
      <c r="D42">
        <f t="shared" si="1"/>
        <v>323</v>
      </c>
      <c r="E42">
        <v>26</v>
      </c>
      <c r="F42">
        <v>297</v>
      </c>
      <c r="G42" t="s">
        <v>171</v>
      </c>
      <c r="H42">
        <f>ABS(テーブル1[[#This Row],[after_change]]-テーブル1[[#This Row],[before_change]])</f>
        <v>237.45351375236407</v>
      </c>
      <c r="I42">
        <v>1124.2225011497001</v>
      </c>
      <c r="J42">
        <v>886.76898739733599</v>
      </c>
      <c r="K42" t="s">
        <v>159</v>
      </c>
      <c r="L42">
        <v>1</v>
      </c>
      <c r="M42" t="s">
        <v>190</v>
      </c>
      <c r="N42" t="s">
        <v>213</v>
      </c>
      <c r="P42" t="s">
        <v>129</v>
      </c>
      <c r="Q42" t="s">
        <v>190</v>
      </c>
      <c r="R42" t="s">
        <v>202</v>
      </c>
      <c r="Y42">
        <v>0</v>
      </c>
    </row>
    <row r="43" spans="1:25" x14ac:dyDescent="0.55000000000000004">
      <c r="A43" t="s">
        <v>16</v>
      </c>
      <c r="B43" t="s">
        <v>174</v>
      </c>
      <c r="C43" t="s">
        <v>3</v>
      </c>
      <c r="D43">
        <f t="shared" si="1"/>
        <v>323</v>
      </c>
      <c r="E43">
        <v>26</v>
      </c>
      <c r="F43">
        <v>297</v>
      </c>
      <c r="G43" t="s">
        <v>171</v>
      </c>
      <c r="H43">
        <f>ABS(テーブル1[[#This Row],[after_change]]-テーブル1[[#This Row],[before_change]])</f>
        <v>237.45351375236407</v>
      </c>
      <c r="I43">
        <v>1124.2225011497001</v>
      </c>
      <c r="J43">
        <v>886.76898739733599</v>
      </c>
      <c r="K43" t="s">
        <v>179</v>
      </c>
      <c r="L43">
        <v>1</v>
      </c>
      <c r="M43" t="s">
        <v>190</v>
      </c>
      <c r="N43" t="s">
        <v>213</v>
      </c>
      <c r="P43" t="s">
        <v>129</v>
      </c>
      <c r="Q43" t="s">
        <v>190</v>
      </c>
      <c r="R43" t="s">
        <v>202</v>
      </c>
      <c r="Y43">
        <v>0</v>
      </c>
    </row>
    <row r="44" spans="1:25" x14ac:dyDescent="0.55000000000000004">
      <c r="A44" t="s">
        <v>16</v>
      </c>
      <c r="B44" t="s">
        <v>174</v>
      </c>
      <c r="C44" t="s">
        <v>3</v>
      </c>
      <c r="D44">
        <f t="shared" si="1"/>
        <v>323</v>
      </c>
      <c r="E44">
        <v>26</v>
      </c>
      <c r="F44">
        <v>297</v>
      </c>
      <c r="G44" t="s">
        <v>171</v>
      </c>
      <c r="H44">
        <f>ABS(テーブル1[[#This Row],[after_change]]-テーブル1[[#This Row],[before_change]])</f>
        <v>237.45351375236407</v>
      </c>
      <c r="I44">
        <v>1124.2225011497001</v>
      </c>
      <c r="J44">
        <v>886.76898739733599</v>
      </c>
      <c r="K44" t="s">
        <v>161</v>
      </c>
      <c r="L44">
        <v>1</v>
      </c>
      <c r="M44" t="s">
        <v>190</v>
      </c>
      <c r="N44" t="s">
        <v>213</v>
      </c>
      <c r="P44" t="s">
        <v>129</v>
      </c>
      <c r="Q44" t="s">
        <v>190</v>
      </c>
      <c r="R44" t="s">
        <v>202</v>
      </c>
      <c r="Y44">
        <v>0</v>
      </c>
    </row>
    <row r="45" spans="1:25" x14ac:dyDescent="0.55000000000000004">
      <c r="A45" t="s">
        <v>16</v>
      </c>
      <c r="B45" t="s">
        <v>174</v>
      </c>
      <c r="C45" t="s">
        <v>2</v>
      </c>
      <c r="D45">
        <f t="shared" si="1"/>
        <v>2</v>
      </c>
      <c r="E45">
        <v>1</v>
      </c>
      <c r="F45">
        <v>1</v>
      </c>
      <c r="G45" t="s">
        <v>153</v>
      </c>
      <c r="H45">
        <f>ABS(テーブル1[[#This Row],[after_change]]-テーブル1[[#This Row],[before_change]])</f>
        <v>0.91894797321504029</v>
      </c>
      <c r="I45">
        <v>886.76898739733599</v>
      </c>
      <c r="J45">
        <v>887.68793537055103</v>
      </c>
      <c r="K45" t="s">
        <v>159</v>
      </c>
      <c r="L45">
        <v>0</v>
      </c>
      <c r="Y45" t="s">
        <v>227</v>
      </c>
    </row>
    <row r="46" spans="1:25" x14ac:dyDescent="0.55000000000000004">
      <c r="A46" t="s">
        <v>16</v>
      </c>
      <c r="B46" t="s">
        <v>174</v>
      </c>
      <c r="C46" t="s">
        <v>27</v>
      </c>
      <c r="D46">
        <f t="shared" si="1"/>
        <v>465</v>
      </c>
      <c r="E46">
        <v>447</v>
      </c>
      <c r="F46">
        <v>18</v>
      </c>
      <c r="G46" t="s">
        <v>171</v>
      </c>
      <c r="H46">
        <f>ABS(テーブル1[[#This Row],[after_change]]-テーブル1[[#This Row],[before_change]])</f>
        <v>0.39887473009798668</v>
      </c>
      <c r="I46">
        <v>887.68793537055103</v>
      </c>
      <c r="J46">
        <v>887.28906064045304</v>
      </c>
      <c r="K46" t="s">
        <v>161</v>
      </c>
      <c r="L46">
        <v>1</v>
      </c>
      <c r="M46" t="s">
        <v>214</v>
      </c>
      <c r="P46" t="s">
        <v>194</v>
      </c>
      <c r="Q46" t="s">
        <v>212</v>
      </c>
      <c r="Y46">
        <v>1</v>
      </c>
    </row>
    <row r="47" spans="1:25" x14ac:dyDescent="0.55000000000000004">
      <c r="A47" t="s">
        <v>16</v>
      </c>
      <c r="B47" t="s">
        <v>157</v>
      </c>
      <c r="C47" t="s">
        <v>77</v>
      </c>
      <c r="D47">
        <f t="shared" si="1"/>
        <v>137</v>
      </c>
      <c r="E47">
        <v>116</v>
      </c>
      <c r="F47">
        <v>21</v>
      </c>
      <c r="G47" t="s">
        <v>153</v>
      </c>
      <c r="H47">
        <f>ABS(テーブル1[[#This Row],[after_change]]-テーブル1[[#This Row],[before_change]])</f>
        <v>54</v>
      </c>
      <c r="I47">
        <v>527</v>
      </c>
      <c r="J47">
        <v>581</v>
      </c>
      <c r="K47" t="s">
        <v>159</v>
      </c>
      <c r="L47">
        <v>1</v>
      </c>
      <c r="M47" t="s">
        <v>214</v>
      </c>
      <c r="P47" t="s">
        <v>196</v>
      </c>
      <c r="Q47" t="s">
        <v>212</v>
      </c>
      <c r="Y47" t="s">
        <v>227</v>
      </c>
    </row>
    <row r="48" spans="1:25" x14ac:dyDescent="0.55000000000000004">
      <c r="A48" t="s">
        <v>16</v>
      </c>
      <c r="B48" t="s">
        <v>157</v>
      </c>
      <c r="C48" t="s">
        <v>78</v>
      </c>
      <c r="D48">
        <f t="shared" si="1"/>
        <v>156</v>
      </c>
      <c r="E48">
        <v>97</v>
      </c>
      <c r="F48">
        <v>59</v>
      </c>
      <c r="G48" t="s">
        <v>153</v>
      </c>
      <c r="H48">
        <f>ABS(テーブル1[[#This Row],[after_change]]-テーブル1[[#This Row],[before_change]])</f>
        <v>200</v>
      </c>
      <c r="I48">
        <v>581</v>
      </c>
      <c r="J48">
        <v>781</v>
      </c>
      <c r="K48" t="s">
        <v>159</v>
      </c>
      <c r="L48">
        <v>1</v>
      </c>
      <c r="M48" t="s">
        <v>214</v>
      </c>
      <c r="P48" t="s">
        <v>195</v>
      </c>
      <c r="Q48" t="s">
        <v>212</v>
      </c>
      <c r="Y48" t="s">
        <v>227</v>
      </c>
    </row>
    <row r="49" spans="1:25" x14ac:dyDescent="0.55000000000000004">
      <c r="A49" t="s">
        <v>16</v>
      </c>
      <c r="B49" t="s">
        <v>157</v>
      </c>
      <c r="C49" t="s">
        <v>3</v>
      </c>
      <c r="D49">
        <f t="shared" si="1"/>
        <v>323</v>
      </c>
      <c r="E49">
        <v>26</v>
      </c>
      <c r="F49">
        <v>297</v>
      </c>
      <c r="G49" t="s">
        <v>171</v>
      </c>
      <c r="H49">
        <f>ABS(テーブル1[[#This Row],[after_change]]-テーブル1[[#This Row],[before_change]])</f>
        <v>19</v>
      </c>
      <c r="I49">
        <v>781</v>
      </c>
      <c r="J49">
        <v>762</v>
      </c>
      <c r="K49" t="s">
        <v>159</v>
      </c>
      <c r="L49">
        <v>1</v>
      </c>
      <c r="M49" t="s">
        <v>190</v>
      </c>
      <c r="N49" t="s">
        <v>213</v>
      </c>
      <c r="P49" t="s">
        <v>129</v>
      </c>
      <c r="Q49" t="s">
        <v>190</v>
      </c>
      <c r="R49" t="s">
        <v>202</v>
      </c>
      <c r="Y49" t="s">
        <v>227</v>
      </c>
    </row>
    <row r="50" spans="1:25" x14ac:dyDescent="0.55000000000000004">
      <c r="A50" t="s">
        <v>16</v>
      </c>
      <c r="B50" t="s">
        <v>157</v>
      </c>
      <c r="C50" t="s">
        <v>2</v>
      </c>
      <c r="D50">
        <f t="shared" si="1"/>
        <v>2</v>
      </c>
      <c r="E50">
        <v>1</v>
      </c>
      <c r="F50">
        <v>1</v>
      </c>
      <c r="G50" t="s">
        <v>171</v>
      </c>
      <c r="H50">
        <f>ABS(テーブル1[[#This Row],[after_change]]-テーブル1[[#This Row],[before_change]])</f>
        <v>1</v>
      </c>
      <c r="I50">
        <v>762</v>
      </c>
      <c r="J50">
        <v>761</v>
      </c>
      <c r="K50" t="s">
        <v>159</v>
      </c>
      <c r="L50">
        <v>0</v>
      </c>
      <c r="Y50" t="s">
        <v>227</v>
      </c>
    </row>
    <row r="51" spans="1:25" x14ac:dyDescent="0.55000000000000004">
      <c r="A51" t="s">
        <v>16</v>
      </c>
      <c r="B51" t="s">
        <v>157</v>
      </c>
      <c r="C51" t="s">
        <v>27</v>
      </c>
      <c r="D51">
        <f t="shared" si="1"/>
        <v>465</v>
      </c>
      <c r="E51">
        <v>447</v>
      </c>
      <c r="F51">
        <v>18</v>
      </c>
      <c r="G51" t="s">
        <v>171</v>
      </c>
      <c r="H51">
        <f>ABS(テーブル1[[#This Row],[after_change]]-テーブル1[[#This Row],[before_change]])</f>
        <v>81</v>
      </c>
      <c r="I51">
        <v>761</v>
      </c>
      <c r="J51">
        <v>842</v>
      </c>
      <c r="K51" t="s">
        <v>159</v>
      </c>
      <c r="L51">
        <v>1</v>
      </c>
      <c r="M51" t="s">
        <v>214</v>
      </c>
      <c r="P51" t="s">
        <v>194</v>
      </c>
      <c r="Q51" t="s">
        <v>212</v>
      </c>
      <c r="Y51" t="s">
        <v>227</v>
      </c>
    </row>
    <row r="52" spans="1:25" x14ac:dyDescent="0.55000000000000004">
      <c r="A52" t="s">
        <v>16</v>
      </c>
      <c r="B52" t="s">
        <v>157</v>
      </c>
      <c r="C52" t="s">
        <v>27</v>
      </c>
      <c r="D52">
        <f t="shared" si="1"/>
        <v>465</v>
      </c>
      <c r="E52">
        <v>447</v>
      </c>
      <c r="F52">
        <v>18</v>
      </c>
      <c r="G52" t="s">
        <v>171</v>
      </c>
      <c r="H52">
        <f>ABS(テーブル1[[#This Row],[after_change]]-テーブル1[[#This Row],[before_change]])</f>
        <v>81</v>
      </c>
      <c r="I52">
        <v>761</v>
      </c>
      <c r="J52">
        <v>842</v>
      </c>
      <c r="K52" t="s">
        <v>161</v>
      </c>
      <c r="L52">
        <v>1</v>
      </c>
      <c r="M52" t="s">
        <v>214</v>
      </c>
      <c r="P52" t="s">
        <v>194</v>
      </c>
      <c r="Q52" t="s">
        <v>212</v>
      </c>
      <c r="Y52" t="s">
        <v>227</v>
      </c>
    </row>
    <row r="53" spans="1:25" x14ac:dyDescent="0.55000000000000004">
      <c r="A53" t="s">
        <v>103</v>
      </c>
      <c r="B53" t="s">
        <v>174</v>
      </c>
      <c r="C53" t="s">
        <v>3</v>
      </c>
      <c r="D53">
        <f t="shared" si="1"/>
        <v>323</v>
      </c>
      <c r="E53">
        <v>26</v>
      </c>
      <c r="F53">
        <v>297</v>
      </c>
      <c r="G53" t="s">
        <v>153</v>
      </c>
      <c r="H53">
        <f>ABS(テーブル1[[#This Row],[after_change]]-テーブル1[[#This Row],[before_change]])</f>
        <v>23.220363125390122</v>
      </c>
      <c r="I53">
        <v>1047.6996520524999</v>
      </c>
      <c r="J53">
        <v>1070.92001517789</v>
      </c>
      <c r="K53" t="s">
        <v>162</v>
      </c>
      <c r="L53">
        <v>1</v>
      </c>
      <c r="M53" t="s">
        <v>214</v>
      </c>
      <c r="P53" t="s">
        <v>197</v>
      </c>
      <c r="Q53" t="s">
        <v>212</v>
      </c>
      <c r="S53" t="s">
        <v>206</v>
      </c>
      <c r="T53" t="s">
        <v>212</v>
      </c>
      <c r="Y53">
        <v>1</v>
      </c>
    </row>
    <row r="54" spans="1:25" x14ac:dyDescent="0.55000000000000004">
      <c r="A54" t="s">
        <v>103</v>
      </c>
      <c r="B54" t="s">
        <v>174</v>
      </c>
      <c r="C54" t="s">
        <v>1</v>
      </c>
      <c r="D54">
        <f t="shared" si="1"/>
        <v>3</v>
      </c>
      <c r="E54">
        <v>2</v>
      </c>
      <c r="F54">
        <v>1</v>
      </c>
      <c r="G54" t="s">
        <v>153</v>
      </c>
      <c r="H54">
        <f>ABS(テーブル1[[#This Row],[after_change]]-テーブル1[[#This Row],[before_change]])</f>
        <v>32.870941440809929</v>
      </c>
      <c r="I54">
        <v>1070.92001517789</v>
      </c>
      <c r="J54">
        <v>1103.7909566187</v>
      </c>
      <c r="K54" t="s">
        <v>162</v>
      </c>
      <c r="L54">
        <v>1</v>
      </c>
      <c r="M54" t="s">
        <v>214</v>
      </c>
      <c r="P54" t="s">
        <v>127</v>
      </c>
      <c r="Q54" t="s">
        <v>200</v>
      </c>
      <c r="R54" t="s">
        <v>211</v>
      </c>
      <c r="Y54">
        <v>1</v>
      </c>
    </row>
    <row r="55" spans="1:25" x14ac:dyDescent="0.55000000000000004">
      <c r="A55" t="s">
        <v>19</v>
      </c>
      <c r="B55" t="s">
        <v>174</v>
      </c>
      <c r="C55" t="s">
        <v>3</v>
      </c>
      <c r="D55">
        <f t="shared" si="1"/>
        <v>323</v>
      </c>
      <c r="E55">
        <v>26</v>
      </c>
      <c r="F55">
        <v>297</v>
      </c>
      <c r="G55" t="s">
        <v>153</v>
      </c>
      <c r="H55">
        <f>ABS(テーブル1[[#This Row],[after_change]]-テーブル1[[#This Row],[before_change]])</f>
        <v>33.02190533879002</v>
      </c>
      <c r="I55">
        <v>1192.2299795870099</v>
      </c>
      <c r="J55">
        <v>1225.2518849257999</v>
      </c>
      <c r="K55" t="s">
        <v>162</v>
      </c>
      <c r="L55">
        <v>1</v>
      </c>
      <c r="M55" t="s">
        <v>214</v>
      </c>
      <c r="P55" t="s">
        <v>197</v>
      </c>
      <c r="Q55" t="s">
        <v>212</v>
      </c>
      <c r="S55" t="s">
        <v>206</v>
      </c>
      <c r="T55" t="s">
        <v>212</v>
      </c>
      <c r="Y55">
        <v>1</v>
      </c>
    </row>
    <row r="56" spans="1:25" x14ac:dyDescent="0.55000000000000004">
      <c r="A56" t="s">
        <v>119</v>
      </c>
      <c r="B56" t="s">
        <v>174</v>
      </c>
      <c r="C56" t="s">
        <v>1</v>
      </c>
      <c r="D56">
        <f t="shared" si="1"/>
        <v>3</v>
      </c>
      <c r="E56">
        <v>2</v>
      </c>
      <c r="F56">
        <v>1</v>
      </c>
      <c r="G56" t="s">
        <v>153</v>
      </c>
      <c r="H56">
        <f>ABS(テーブル1[[#This Row],[after_change]]-テーブル1[[#This Row],[before_change]])</f>
        <v>42.709250887710141</v>
      </c>
      <c r="I56">
        <v>1225.2518849257999</v>
      </c>
      <c r="J56">
        <v>1267.9611358135101</v>
      </c>
      <c r="K56" t="s">
        <v>162</v>
      </c>
      <c r="L56">
        <v>1</v>
      </c>
      <c r="M56" t="s">
        <v>214</v>
      </c>
      <c r="P56" t="s">
        <v>127</v>
      </c>
      <c r="Q56" t="s">
        <v>200</v>
      </c>
      <c r="R56" t="s">
        <v>211</v>
      </c>
      <c r="Y56">
        <v>1</v>
      </c>
    </row>
    <row r="57" spans="1:25" x14ac:dyDescent="0.55000000000000004">
      <c r="A57" t="s">
        <v>21</v>
      </c>
      <c r="B57" t="s">
        <v>174</v>
      </c>
      <c r="C57" t="s">
        <v>20</v>
      </c>
      <c r="D57">
        <f t="shared" si="1"/>
        <v>29136</v>
      </c>
      <c r="E57">
        <v>24745</v>
      </c>
      <c r="F57">
        <v>4391</v>
      </c>
      <c r="G57" t="s">
        <v>153</v>
      </c>
      <c r="H57">
        <f>ABS(テーブル1[[#This Row],[after_change]]-テーブル1[[#This Row],[before_change]])</f>
        <v>359.04420118604901</v>
      </c>
      <c r="I57">
        <v>705.38287475668096</v>
      </c>
      <c r="J57">
        <v>1064.42707594273</v>
      </c>
      <c r="K57" t="s">
        <v>165</v>
      </c>
      <c r="L57">
        <v>1</v>
      </c>
      <c r="M57" t="s">
        <v>215</v>
      </c>
      <c r="N57" t="s">
        <v>213</v>
      </c>
      <c r="P57" t="s">
        <v>193</v>
      </c>
      <c r="Q57" t="s">
        <v>224</v>
      </c>
      <c r="Y57" t="s">
        <v>227</v>
      </c>
    </row>
    <row r="58" spans="1:25" x14ac:dyDescent="0.55000000000000004">
      <c r="A58" t="s">
        <v>21</v>
      </c>
      <c r="B58" t="s">
        <v>157</v>
      </c>
      <c r="C58" t="s">
        <v>75</v>
      </c>
      <c r="D58">
        <f t="shared" si="1"/>
        <v>137</v>
      </c>
      <c r="E58">
        <v>116</v>
      </c>
      <c r="F58">
        <v>21</v>
      </c>
      <c r="G58" t="s">
        <v>153</v>
      </c>
      <c r="H58">
        <f>ABS(テーブル1[[#This Row],[after_change]]-テーブル1[[#This Row],[before_change]])</f>
        <v>54</v>
      </c>
      <c r="I58">
        <v>570</v>
      </c>
      <c r="J58">
        <v>624</v>
      </c>
      <c r="K58" t="s">
        <v>160</v>
      </c>
      <c r="L58">
        <v>1</v>
      </c>
      <c r="M58" t="s">
        <v>214</v>
      </c>
      <c r="P58" t="s">
        <v>196</v>
      </c>
      <c r="Q58" t="s">
        <v>212</v>
      </c>
      <c r="Y58" t="s">
        <v>227</v>
      </c>
    </row>
    <row r="59" spans="1:25" x14ac:dyDescent="0.55000000000000004">
      <c r="A59" t="s">
        <v>21</v>
      </c>
      <c r="B59" t="s">
        <v>157</v>
      </c>
      <c r="C59" t="s">
        <v>76</v>
      </c>
      <c r="D59">
        <f t="shared" si="1"/>
        <v>156</v>
      </c>
      <c r="E59">
        <v>97</v>
      </c>
      <c r="F59">
        <v>59</v>
      </c>
      <c r="G59" t="s">
        <v>153</v>
      </c>
      <c r="H59">
        <f>ABS(テーブル1[[#This Row],[after_change]]-テーブル1[[#This Row],[before_change]])</f>
        <v>200</v>
      </c>
      <c r="I59">
        <v>624</v>
      </c>
      <c r="J59">
        <v>824</v>
      </c>
      <c r="K59" t="s">
        <v>160</v>
      </c>
      <c r="L59">
        <v>1</v>
      </c>
      <c r="M59" t="s">
        <v>214</v>
      </c>
      <c r="P59" t="s">
        <v>195</v>
      </c>
      <c r="Q59" t="s">
        <v>212</v>
      </c>
      <c r="Y59" t="s">
        <v>227</v>
      </c>
    </row>
    <row r="60" spans="1:25" x14ac:dyDescent="0.55000000000000004">
      <c r="A60" t="s">
        <v>21</v>
      </c>
      <c r="B60" t="s">
        <v>157</v>
      </c>
      <c r="C60" t="s">
        <v>20</v>
      </c>
      <c r="D60">
        <f t="shared" si="1"/>
        <v>29136</v>
      </c>
      <c r="E60">
        <v>24745</v>
      </c>
      <c r="F60">
        <v>4391</v>
      </c>
      <c r="G60" t="s">
        <v>171</v>
      </c>
      <c r="H60">
        <f>ABS(テーブル1[[#This Row],[after_change]]-テーブル1[[#This Row],[before_change]])</f>
        <v>824</v>
      </c>
      <c r="I60">
        <v>824</v>
      </c>
      <c r="J60">
        <v>0</v>
      </c>
      <c r="K60" t="s">
        <v>165</v>
      </c>
      <c r="L60">
        <v>1</v>
      </c>
      <c r="M60" t="s">
        <v>215</v>
      </c>
      <c r="N60" t="s">
        <v>213</v>
      </c>
      <c r="P60" t="s">
        <v>193</v>
      </c>
      <c r="Q60" t="s">
        <v>224</v>
      </c>
      <c r="Y60" t="s">
        <v>227</v>
      </c>
    </row>
    <row r="61" spans="1:25" x14ac:dyDescent="0.55000000000000004">
      <c r="A61" t="s">
        <v>22</v>
      </c>
      <c r="B61" t="s">
        <v>174</v>
      </c>
      <c r="C61" t="s">
        <v>18</v>
      </c>
      <c r="D61">
        <f t="shared" si="1"/>
        <v>323</v>
      </c>
      <c r="E61">
        <v>26</v>
      </c>
      <c r="F61">
        <v>297</v>
      </c>
      <c r="G61" t="s">
        <v>153</v>
      </c>
      <c r="H61">
        <f>ABS(テーブル1[[#This Row],[after_change]]-テーブル1[[#This Row],[before_change]])</f>
        <v>12.733480351630078</v>
      </c>
      <c r="I61">
        <v>1066.08161038449</v>
      </c>
      <c r="J61">
        <v>1078.8150907361201</v>
      </c>
      <c r="K61" t="s">
        <v>161</v>
      </c>
      <c r="L61">
        <v>1</v>
      </c>
      <c r="M61" t="s">
        <v>214</v>
      </c>
      <c r="P61" t="s">
        <v>197</v>
      </c>
      <c r="Q61" t="s">
        <v>212</v>
      </c>
      <c r="S61" t="s">
        <v>206</v>
      </c>
      <c r="T61" t="s">
        <v>212</v>
      </c>
      <c r="Y61">
        <v>1</v>
      </c>
    </row>
    <row r="62" spans="1:25" x14ac:dyDescent="0.55000000000000004">
      <c r="A62" t="s">
        <v>102</v>
      </c>
      <c r="B62" t="s">
        <v>174</v>
      </c>
      <c r="C62" t="s">
        <v>17</v>
      </c>
      <c r="D62">
        <f t="shared" si="1"/>
        <v>3</v>
      </c>
      <c r="E62">
        <v>2</v>
      </c>
      <c r="F62">
        <v>1</v>
      </c>
      <c r="G62" t="s">
        <v>153</v>
      </c>
      <c r="H62">
        <f>ABS(テーブル1[[#This Row],[after_change]]-テーブル1[[#This Row],[before_change]])</f>
        <v>14.221962615680013</v>
      </c>
      <c r="I62">
        <v>1078.8150907361201</v>
      </c>
      <c r="J62">
        <v>1093.0370533518001</v>
      </c>
      <c r="K62" t="s">
        <v>161</v>
      </c>
      <c r="L62">
        <v>1</v>
      </c>
      <c r="M62" t="s">
        <v>214</v>
      </c>
      <c r="P62" t="s">
        <v>127</v>
      </c>
      <c r="Q62" t="s">
        <v>200</v>
      </c>
      <c r="R62" t="s">
        <v>211</v>
      </c>
      <c r="Y62">
        <v>1</v>
      </c>
    </row>
    <row r="63" spans="1:25" x14ac:dyDescent="0.55000000000000004">
      <c r="A63" t="s">
        <v>23</v>
      </c>
      <c r="B63" t="s">
        <v>174</v>
      </c>
      <c r="C63" t="s">
        <v>18</v>
      </c>
      <c r="D63">
        <f t="shared" si="1"/>
        <v>323</v>
      </c>
      <c r="E63">
        <v>26</v>
      </c>
      <c r="F63">
        <v>297</v>
      </c>
      <c r="G63" t="s">
        <v>153</v>
      </c>
      <c r="H63">
        <f>ABS(テーブル1[[#This Row],[after_change]]-テーブル1[[#This Row],[before_change]])</f>
        <v>9.5031930914249187</v>
      </c>
      <c r="I63">
        <v>985.23144488998105</v>
      </c>
      <c r="J63">
        <v>994.73463798140597</v>
      </c>
      <c r="K63" t="s">
        <v>161</v>
      </c>
      <c r="L63">
        <v>1</v>
      </c>
      <c r="M63" t="s">
        <v>214</v>
      </c>
      <c r="P63" t="s">
        <v>197</v>
      </c>
      <c r="Q63" t="s">
        <v>212</v>
      </c>
      <c r="S63" t="s">
        <v>206</v>
      </c>
      <c r="T63" t="s">
        <v>212</v>
      </c>
      <c r="Y63">
        <v>1</v>
      </c>
    </row>
    <row r="64" spans="1:25" x14ac:dyDescent="0.55000000000000004">
      <c r="A64" t="s">
        <v>23</v>
      </c>
      <c r="B64" t="s">
        <v>174</v>
      </c>
      <c r="C64" t="s">
        <v>17</v>
      </c>
      <c r="D64">
        <f t="shared" si="1"/>
        <v>3</v>
      </c>
      <c r="E64">
        <v>2</v>
      </c>
      <c r="F64">
        <v>1</v>
      </c>
      <c r="G64" t="s">
        <v>153</v>
      </c>
      <c r="H64">
        <f>ABS(テーブル1[[#This Row],[after_change]]-テーブル1[[#This Row],[before_change]])</f>
        <v>12.557276013734054</v>
      </c>
      <c r="I64">
        <v>994.73463798140597</v>
      </c>
      <c r="J64">
        <v>1007.29191399514</v>
      </c>
      <c r="K64" t="s">
        <v>161</v>
      </c>
      <c r="L64">
        <v>1</v>
      </c>
      <c r="M64" t="s">
        <v>214</v>
      </c>
      <c r="P64" t="s">
        <v>127</v>
      </c>
      <c r="Q64" t="s">
        <v>200</v>
      </c>
      <c r="Y64">
        <v>1</v>
      </c>
    </row>
    <row r="65" spans="1:25" x14ac:dyDescent="0.55000000000000004">
      <c r="A65" t="s">
        <v>25</v>
      </c>
      <c r="B65" t="s">
        <v>174</v>
      </c>
      <c r="C65" t="s">
        <v>24</v>
      </c>
      <c r="D65">
        <f t="shared" si="1"/>
        <v>29136</v>
      </c>
      <c r="E65">
        <v>24745</v>
      </c>
      <c r="F65">
        <v>4391</v>
      </c>
      <c r="G65" t="s">
        <v>153</v>
      </c>
      <c r="H65">
        <f>ABS(テーブル1[[#This Row],[after_change]]-テーブル1[[#This Row],[before_change]])</f>
        <v>579.67409397357005</v>
      </c>
      <c r="I65">
        <v>427.61782002157003</v>
      </c>
      <c r="J65">
        <v>1007.29191399514</v>
      </c>
      <c r="K65" t="s">
        <v>161</v>
      </c>
      <c r="L65">
        <v>1</v>
      </c>
      <c r="M65" t="s">
        <v>215</v>
      </c>
      <c r="N65" t="s">
        <v>213</v>
      </c>
      <c r="P65" t="s">
        <v>193</v>
      </c>
      <c r="Q65" t="s">
        <v>224</v>
      </c>
      <c r="Y65" t="s">
        <v>227</v>
      </c>
    </row>
    <row r="66" spans="1:25" x14ac:dyDescent="0.55000000000000004">
      <c r="A66" t="s">
        <v>63</v>
      </c>
      <c r="B66" t="s">
        <v>174</v>
      </c>
      <c r="C66" t="s">
        <v>61</v>
      </c>
      <c r="D66">
        <f t="shared" ref="D66:D97" si="2">E66+F66</f>
        <v>96</v>
      </c>
      <c r="E66">
        <v>44</v>
      </c>
      <c r="F66">
        <v>52</v>
      </c>
      <c r="G66" t="s">
        <v>153</v>
      </c>
      <c r="H66">
        <f>ABS(テーブル1[[#This Row],[after_change]]-テーブル1[[#This Row],[before_change]])</f>
        <v>25.333612253458</v>
      </c>
      <c r="I66">
        <v>427.61782002157003</v>
      </c>
      <c r="J66">
        <v>452.95143227502803</v>
      </c>
      <c r="K66" t="s">
        <v>161</v>
      </c>
      <c r="L66">
        <v>0</v>
      </c>
      <c r="Y66" t="s">
        <v>227</v>
      </c>
    </row>
    <row r="67" spans="1:25" x14ac:dyDescent="0.55000000000000004">
      <c r="A67" t="s">
        <v>25</v>
      </c>
      <c r="B67" t="s">
        <v>174</v>
      </c>
      <c r="C67" t="s">
        <v>62</v>
      </c>
      <c r="D67">
        <f t="shared" si="2"/>
        <v>16</v>
      </c>
      <c r="E67">
        <v>9</v>
      </c>
      <c r="F67">
        <v>7</v>
      </c>
      <c r="G67" t="s">
        <v>171</v>
      </c>
      <c r="H67">
        <f>ABS(テーブル1[[#This Row],[after_change]]-テーブル1[[#This Row],[before_change]])</f>
        <v>25.333612253458</v>
      </c>
      <c r="I67">
        <v>452.95143227502803</v>
      </c>
      <c r="J67">
        <v>427.61782002157003</v>
      </c>
      <c r="K67" t="s">
        <v>161</v>
      </c>
      <c r="L67">
        <v>0</v>
      </c>
      <c r="Y67" t="s">
        <v>227</v>
      </c>
    </row>
    <row r="68" spans="1:25" x14ac:dyDescent="0.55000000000000004">
      <c r="A68" t="s">
        <v>25</v>
      </c>
      <c r="B68" t="s">
        <v>157</v>
      </c>
      <c r="C68" t="s">
        <v>75</v>
      </c>
      <c r="D68">
        <f t="shared" si="2"/>
        <v>137</v>
      </c>
      <c r="E68">
        <v>116</v>
      </c>
      <c r="F68">
        <v>21</v>
      </c>
      <c r="G68" t="s">
        <v>153</v>
      </c>
      <c r="H68">
        <f>ABS(テーブル1[[#This Row],[after_change]]-テーブル1[[#This Row],[before_change]])</f>
        <v>54</v>
      </c>
      <c r="I68">
        <v>668</v>
      </c>
      <c r="J68">
        <v>722</v>
      </c>
      <c r="K68" t="s">
        <v>161</v>
      </c>
      <c r="L68">
        <v>1</v>
      </c>
      <c r="M68" t="s">
        <v>214</v>
      </c>
      <c r="P68" t="s">
        <v>196</v>
      </c>
      <c r="Q68" t="s">
        <v>212</v>
      </c>
      <c r="Y68" t="s">
        <v>227</v>
      </c>
    </row>
    <row r="69" spans="1:25" x14ac:dyDescent="0.55000000000000004">
      <c r="A69" t="s">
        <v>25</v>
      </c>
      <c r="B69" t="s">
        <v>157</v>
      </c>
      <c r="C69" t="s">
        <v>99</v>
      </c>
      <c r="D69">
        <f t="shared" si="2"/>
        <v>96</v>
      </c>
      <c r="E69">
        <v>44</v>
      </c>
      <c r="F69">
        <v>52</v>
      </c>
      <c r="G69" t="s">
        <v>171</v>
      </c>
      <c r="H69">
        <f>ABS(テーブル1[[#This Row],[after_change]]-テーブル1[[#This Row],[before_change]])</f>
        <v>26</v>
      </c>
      <c r="I69">
        <v>722</v>
      </c>
      <c r="J69">
        <v>696</v>
      </c>
      <c r="K69" t="s">
        <v>161</v>
      </c>
      <c r="L69">
        <v>0</v>
      </c>
      <c r="Y69" t="s">
        <v>227</v>
      </c>
    </row>
    <row r="70" spans="1:25" x14ac:dyDescent="0.55000000000000004">
      <c r="A70" t="s">
        <v>25</v>
      </c>
      <c r="B70" t="s">
        <v>157</v>
      </c>
      <c r="C70" t="s">
        <v>62</v>
      </c>
      <c r="D70">
        <f t="shared" si="2"/>
        <v>16</v>
      </c>
      <c r="E70">
        <v>9</v>
      </c>
      <c r="F70">
        <v>7</v>
      </c>
      <c r="G70" t="s">
        <v>153</v>
      </c>
      <c r="H70">
        <f>ABS(テーブル1[[#This Row],[after_change]]-テーブル1[[#This Row],[before_change]])</f>
        <v>26</v>
      </c>
      <c r="I70">
        <v>696</v>
      </c>
      <c r="J70">
        <v>722</v>
      </c>
      <c r="K70" t="s">
        <v>161</v>
      </c>
      <c r="L70">
        <v>0</v>
      </c>
      <c r="Y70" t="s">
        <v>227</v>
      </c>
    </row>
    <row r="71" spans="1:25" x14ac:dyDescent="0.55000000000000004">
      <c r="A71" t="s">
        <v>95</v>
      </c>
      <c r="B71" t="s">
        <v>157</v>
      </c>
      <c r="C71" t="s">
        <v>76</v>
      </c>
      <c r="D71">
        <f t="shared" si="2"/>
        <v>156</v>
      </c>
      <c r="E71">
        <v>97</v>
      </c>
      <c r="F71">
        <v>59</v>
      </c>
      <c r="G71" t="s">
        <v>153</v>
      </c>
      <c r="H71">
        <f>ABS(テーブル1[[#This Row],[after_change]]-テーブル1[[#This Row],[before_change]])</f>
        <v>200</v>
      </c>
      <c r="I71">
        <v>722</v>
      </c>
      <c r="J71">
        <v>922</v>
      </c>
      <c r="K71" t="s">
        <v>161</v>
      </c>
      <c r="L71">
        <v>1</v>
      </c>
      <c r="M71" t="s">
        <v>214</v>
      </c>
      <c r="P71" t="s">
        <v>195</v>
      </c>
      <c r="Q71" t="s">
        <v>212</v>
      </c>
      <c r="Y71" t="s">
        <v>227</v>
      </c>
    </row>
    <row r="72" spans="1:25" x14ac:dyDescent="0.55000000000000004">
      <c r="A72" t="s">
        <v>25</v>
      </c>
      <c r="B72" t="s">
        <v>157</v>
      </c>
      <c r="C72" t="s">
        <v>24</v>
      </c>
      <c r="D72">
        <f t="shared" si="2"/>
        <v>29136</v>
      </c>
      <c r="E72">
        <v>24745</v>
      </c>
      <c r="F72">
        <v>4391</v>
      </c>
      <c r="G72" t="s">
        <v>171</v>
      </c>
      <c r="H72">
        <f>ABS(テーブル1[[#This Row],[after_change]]-テーブル1[[#This Row],[before_change]])</f>
        <v>922</v>
      </c>
      <c r="I72">
        <v>922</v>
      </c>
      <c r="J72">
        <v>0</v>
      </c>
      <c r="K72" t="s">
        <v>161</v>
      </c>
      <c r="L72">
        <v>1</v>
      </c>
      <c r="M72" t="s">
        <v>215</v>
      </c>
      <c r="N72" t="s">
        <v>213</v>
      </c>
      <c r="P72" t="s">
        <v>193</v>
      </c>
      <c r="Q72" t="s">
        <v>224</v>
      </c>
      <c r="Y72" t="s">
        <v>227</v>
      </c>
    </row>
    <row r="73" spans="1:25" x14ac:dyDescent="0.55000000000000004">
      <c r="A73" t="s">
        <v>110</v>
      </c>
      <c r="B73" t="s">
        <v>174</v>
      </c>
      <c r="C73" t="s">
        <v>26</v>
      </c>
      <c r="D73">
        <f t="shared" ref="D73" si="3">E73+F73</f>
        <v>465</v>
      </c>
      <c r="E73">
        <v>447</v>
      </c>
      <c r="F73">
        <v>18</v>
      </c>
      <c r="G73" t="s">
        <v>153</v>
      </c>
      <c r="H73">
        <f>ABS(テーブル1[[#This Row],[after_change]]-テーブル1[[#This Row],[before_change]])</f>
        <v>105.60370720492028</v>
      </c>
      <c r="I73">
        <v>2858.4657678837798</v>
      </c>
      <c r="J73">
        <v>2964.0694750887001</v>
      </c>
      <c r="K73" t="s">
        <v>180</v>
      </c>
      <c r="L73">
        <v>1</v>
      </c>
      <c r="M73" t="s">
        <v>214</v>
      </c>
      <c r="P73" t="s">
        <v>194</v>
      </c>
      <c r="Q73" t="s">
        <v>212</v>
      </c>
      <c r="Y73">
        <v>1</v>
      </c>
    </row>
    <row r="74" spans="1:25" x14ac:dyDescent="0.55000000000000004">
      <c r="A74" t="s">
        <v>110</v>
      </c>
      <c r="B74" t="s">
        <v>174</v>
      </c>
      <c r="C74" t="s">
        <v>26</v>
      </c>
      <c r="D74">
        <f t="shared" si="2"/>
        <v>465</v>
      </c>
      <c r="E74">
        <v>447</v>
      </c>
      <c r="F74">
        <v>18</v>
      </c>
      <c r="G74" t="s">
        <v>153</v>
      </c>
      <c r="H74">
        <f>ABS(テーブル1[[#This Row],[after_change]]-テーブル1[[#This Row],[before_change]])</f>
        <v>105.60370720492028</v>
      </c>
      <c r="I74">
        <v>2858.4657678837798</v>
      </c>
      <c r="J74">
        <v>2964.0694750887001</v>
      </c>
      <c r="K74" t="s">
        <v>181</v>
      </c>
      <c r="L74">
        <v>1</v>
      </c>
      <c r="M74" t="s">
        <v>214</v>
      </c>
      <c r="P74" t="s">
        <v>194</v>
      </c>
      <c r="Q74" t="s">
        <v>212</v>
      </c>
      <c r="Y74">
        <v>1</v>
      </c>
    </row>
    <row r="75" spans="1:25" x14ac:dyDescent="0.55000000000000004">
      <c r="A75" t="s">
        <v>110</v>
      </c>
      <c r="B75" t="s">
        <v>157</v>
      </c>
      <c r="C75" t="s">
        <v>26</v>
      </c>
      <c r="D75">
        <f t="shared" si="2"/>
        <v>465</v>
      </c>
      <c r="E75">
        <v>447</v>
      </c>
      <c r="F75">
        <v>18</v>
      </c>
      <c r="G75" t="s">
        <v>153</v>
      </c>
      <c r="H75">
        <f>ABS(テーブル1[[#This Row],[after_change]]-テーブル1[[#This Row],[before_change]])</f>
        <v>225</v>
      </c>
      <c r="I75">
        <v>1710</v>
      </c>
      <c r="J75">
        <v>1935</v>
      </c>
      <c r="K75" t="s">
        <v>162</v>
      </c>
      <c r="L75">
        <v>1</v>
      </c>
      <c r="M75" t="s">
        <v>214</v>
      </c>
      <c r="P75" t="s">
        <v>194</v>
      </c>
      <c r="Q75" t="s">
        <v>212</v>
      </c>
      <c r="Y75" t="s">
        <v>227</v>
      </c>
    </row>
    <row r="76" spans="1:25" x14ac:dyDescent="0.55000000000000004">
      <c r="A76" t="s">
        <v>28</v>
      </c>
      <c r="B76" t="s">
        <v>174</v>
      </c>
      <c r="C76" t="s">
        <v>31</v>
      </c>
      <c r="D76">
        <f t="shared" si="2"/>
        <v>2</v>
      </c>
      <c r="E76">
        <v>1</v>
      </c>
      <c r="F76">
        <v>1</v>
      </c>
      <c r="G76" t="s">
        <v>153</v>
      </c>
      <c r="H76">
        <f>ABS(テーブル1[[#This Row],[after_change]]-テーブル1[[#This Row],[before_change]])</f>
        <v>1.8173043668900846</v>
      </c>
      <c r="I76">
        <v>1638.48682081575</v>
      </c>
      <c r="J76">
        <v>1640.3041251826401</v>
      </c>
      <c r="K76" t="s">
        <v>162</v>
      </c>
      <c r="L76">
        <v>0</v>
      </c>
      <c r="Y76" t="s">
        <v>227</v>
      </c>
    </row>
    <row r="77" spans="1:25" x14ac:dyDescent="0.55000000000000004">
      <c r="A77" t="s">
        <v>28</v>
      </c>
      <c r="B77" t="s">
        <v>174</v>
      </c>
      <c r="C77" t="s">
        <v>18</v>
      </c>
      <c r="D77">
        <f t="shared" si="2"/>
        <v>323</v>
      </c>
      <c r="E77">
        <v>26</v>
      </c>
      <c r="F77">
        <v>297</v>
      </c>
      <c r="G77" t="s">
        <v>171</v>
      </c>
      <c r="H77">
        <f>ABS(テーブル1[[#This Row],[after_change]]-テーブル1[[#This Row],[before_change]])</f>
        <v>501.32471148904006</v>
      </c>
      <c r="I77">
        <v>2139.81153230479</v>
      </c>
      <c r="J77">
        <v>1638.48682081575</v>
      </c>
      <c r="K77" t="s">
        <v>162</v>
      </c>
      <c r="L77">
        <v>1</v>
      </c>
      <c r="M77" t="s">
        <v>190</v>
      </c>
      <c r="N77" t="s">
        <v>213</v>
      </c>
      <c r="P77" t="s">
        <v>129</v>
      </c>
      <c r="Q77" t="s">
        <v>190</v>
      </c>
      <c r="R77" t="s">
        <v>202</v>
      </c>
      <c r="Y77">
        <v>0</v>
      </c>
    </row>
    <row r="78" spans="1:25" x14ac:dyDescent="0.55000000000000004">
      <c r="A78" t="s">
        <v>28</v>
      </c>
      <c r="B78" t="s">
        <v>174</v>
      </c>
      <c r="C78" t="s">
        <v>26</v>
      </c>
      <c r="D78">
        <f t="shared" si="2"/>
        <v>465</v>
      </c>
      <c r="E78">
        <v>447</v>
      </c>
      <c r="F78">
        <v>18</v>
      </c>
      <c r="G78" t="s">
        <v>153</v>
      </c>
      <c r="H78">
        <f>ABS(テーブル1[[#This Row],[after_change]]-テーブル1[[#This Row],[before_change]])</f>
        <v>58.903513484719952</v>
      </c>
      <c r="I78">
        <v>1640.3041251826401</v>
      </c>
      <c r="J78">
        <v>1699.20763866736</v>
      </c>
      <c r="K78" t="s">
        <v>170</v>
      </c>
      <c r="L78">
        <v>1</v>
      </c>
      <c r="M78" t="s">
        <v>214</v>
      </c>
      <c r="P78" t="s">
        <v>194</v>
      </c>
      <c r="Q78" t="s">
        <v>212</v>
      </c>
      <c r="Y78">
        <v>1</v>
      </c>
    </row>
    <row r="79" spans="1:25" x14ac:dyDescent="0.55000000000000004">
      <c r="A79" t="s">
        <v>28</v>
      </c>
      <c r="B79" t="s">
        <v>157</v>
      </c>
      <c r="C79" t="s">
        <v>75</v>
      </c>
      <c r="D79">
        <f t="shared" si="2"/>
        <v>137</v>
      </c>
      <c r="E79">
        <v>116</v>
      </c>
      <c r="F79">
        <v>21</v>
      </c>
      <c r="G79" t="s">
        <v>153</v>
      </c>
      <c r="H79">
        <f>ABS(テーブル1[[#This Row],[after_change]]-テーブル1[[#This Row],[before_change]])</f>
        <v>54</v>
      </c>
      <c r="I79">
        <v>608</v>
      </c>
      <c r="J79">
        <v>662</v>
      </c>
      <c r="K79" t="s">
        <v>162</v>
      </c>
      <c r="L79">
        <v>1</v>
      </c>
      <c r="M79" t="s">
        <v>214</v>
      </c>
      <c r="P79" t="s">
        <v>196</v>
      </c>
      <c r="Q79" t="s">
        <v>212</v>
      </c>
      <c r="Y79" t="s">
        <v>227</v>
      </c>
    </row>
    <row r="80" spans="1:25" x14ac:dyDescent="0.55000000000000004">
      <c r="A80" t="s">
        <v>28</v>
      </c>
      <c r="B80" t="s">
        <v>157</v>
      </c>
      <c r="C80" t="s">
        <v>76</v>
      </c>
      <c r="D80">
        <f t="shared" si="2"/>
        <v>156</v>
      </c>
      <c r="E80">
        <v>97</v>
      </c>
      <c r="F80">
        <v>59</v>
      </c>
      <c r="G80" t="s">
        <v>153</v>
      </c>
      <c r="H80">
        <f>ABS(テーブル1[[#This Row],[after_change]]-テーブル1[[#This Row],[before_change]])</f>
        <v>200</v>
      </c>
      <c r="I80">
        <v>662</v>
      </c>
      <c r="J80">
        <v>862</v>
      </c>
      <c r="K80" t="s">
        <v>162</v>
      </c>
      <c r="L80">
        <v>1</v>
      </c>
      <c r="M80" t="s">
        <v>214</v>
      </c>
      <c r="P80" t="s">
        <v>195</v>
      </c>
      <c r="Q80" t="s">
        <v>212</v>
      </c>
      <c r="Y80" t="s">
        <v>227</v>
      </c>
    </row>
    <row r="81" spans="1:25" x14ac:dyDescent="0.55000000000000004">
      <c r="A81" t="s">
        <v>28</v>
      </c>
      <c r="B81" t="s">
        <v>157</v>
      </c>
      <c r="C81" t="s">
        <v>18</v>
      </c>
      <c r="D81">
        <f t="shared" si="2"/>
        <v>323</v>
      </c>
      <c r="E81">
        <v>26</v>
      </c>
      <c r="F81">
        <v>297</v>
      </c>
      <c r="G81" t="s">
        <v>171</v>
      </c>
      <c r="H81">
        <f>ABS(テーブル1[[#This Row],[after_change]]-テーブル1[[#This Row],[before_change]])</f>
        <v>38</v>
      </c>
      <c r="I81">
        <v>862</v>
      </c>
      <c r="J81">
        <v>824</v>
      </c>
      <c r="K81" t="s">
        <v>162</v>
      </c>
      <c r="L81">
        <v>1</v>
      </c>
      <c r="M81" t="s">
        <v>190</v>
      </c>
      <c r="N81" t="s">
        <v>213</v>
      </c>
      <c r="P81" t="s">
        <v>129</v>
      </c>
      <c r="Q81" t="s">
        <v>190</v>
      </c>
      <c r="R81" t="s">
        <v>202</v>
      </c>
      <c r="Y81" t="s">
        <v>227</v>
      </c>
    </row>
    <row r="82" spans="1:25" x14ac:dyDescent="0.55000000000000004">
      <c r="A82" t="s">
        <v>28</v>
      </c>
      <c r="B82" t="s">
        <v>157</v>
      </c>
      <c r="C82" t="s">
        <v>31</v>
      </c>
      <c r="D82">
        <f t="shared" si="2"/>
        <v>2</v>
      </c>
      <c r="E82">
        <v>1</v>
      </c>
      <c r="F82">
        <v>1</v>
      </c>
      <c r="G82" t="s">
        <v>171</v>
      </c>
      <c r="H82">
        <f>ABS(テーブル1[[#This Row],[after_change]]-テーブル1[[#This Row],[before_change]])</f>
        <v>1</v>
      </c>
      <c r="I82">
        <v>824</v>
      </c>
      <c r="J82">
        <v>823</v>
      </c>
      <c r="K82" t="s">
        <v>162</v>
      </c>
      <c r="L82">
        <v>0</v>
      </c>
      <c r="Y82" t="s">
        <v>227</v>
      </c>
    </row>
    <row r="83" spans="1:25" x14ac:dyDescent="0.55000000000000004">
      <c r="A83" t="s">
        <v>28</v>
      </c>
      <c r="B83" t="s">
        <v>157</v>
      </c>
      <c r="C83" t="s">
        <v>17</v>
      </c>
      <c r="D83">
        <f t="shared" si="2"/>
        <v>3</v>
      </c>
      <c r="E83">
        <v>2</v>
      </c>
      <c r="F83">
        <v>1</v>
      </c>
      <c r="G83" t="s">
        <v>153</v>
      </c>
      <c r="H83">
        <f>ABS(テーブル1[[#This Row],[after_change]]-テーブル1[[#This Row],[before_change]])</f>
        <v>817.30412518264006</v>
      </c>
      <c r="I83">
        <v>823</v>
      </c>
      <c r="J83">
        <v>1640.3041251826401</v>
      </c>
      <c r="K83" t="s">
        <v>162</v>
      </c>
      <c r="L83">
        <v>0</v>
      </c>
      <c r="Y83" t="s">
        <v>227</v>
      </c>
    </row>
    <row r="84" spans="1:25" x14ac:dyDescent="0.55000000000000004">
      <c r="A84" t="s">
        <v>28</v>
      </c>
      <c r="B84" t="s">
        <v>157</v>
      </c>
      <c r="C84" t="s">
        <v>26</v>
      </c>
      <c r="D84">
        <f t="shared" si="2"/>
        <v>465</v>
      </c>
      <c r="E84">
        <v>447</v>
      </c>
      <c r="F84">
        <v>18</v>
      </c>
      <c r="G84" t="s">
        <v>153</v>
      </c>
      <c r="H84">
        <f>ABS(テーブル1[[#This Row],[after_change]]-テーブル1[[#This Row],[before_change]])</f>
        <v>90</v>
      </c>
      <c r="I84">
        <v>894</v>
      </c>
      <c r="J84">
        <v>984</v>
      </c>
      <c r="K84" t="s">
        <v>162</v>
      </c>
      <c r="L84">
        <v>1</v>
      </c>
      <c r="M84" t="s">
        <v>214</v>
      </c>
      <c r="P84" t="s">
        <v>194</v>
      </c>
      <c r="Q84" t="s">
        <v>212</v>
      </c>
      <c r="Y84" t="s">
        <v>227</v>
      </c>
    </row>
    <row r="85" spans="1:25" x14ac:dyDescent="0.55000000000000004">
      <c r="A85" t="s">
        <v>29</v>
      </c>
      <c r="B85" t="s">
        <v>174</v>
      </c>
      <c r="C85" t="s">
        <v>18</v>
      </c>
      <c r="D85">
        <f t="shared" si="2"/>
        <v>323</v>
      </c>
      <c r="E85">
        <v>26</v>
      </c>
      <c r="F85">
        <v>297</v>
      </c>
      <c r="G85" t="s">
        <v>171</v>
      </c>
      <c r="H85">
        <f>ABS(テーブル1[[#This Row],[after_change]]-テーブル1[[#This Row],[before_change]])</f>
        <v>349.19918621170405</v>
      </c>
      <c r="I85">
        <v>1063.73539942976</v>
      </c>
      <c r="J85">
        <v>714.53621321805599</v>
      </c>
      <c r="K85" t="s">
        <v>161</v>
      </c>
      <c r="L85">
        <v>1</v>
      </c>
      <c r="M85" t="s">
        <v>190</v>
      </c>
      <c r="N85" t="s">
        <v>213</v>
      </c>
      <c r="P85" t="s">
        <v>129</v>
      </c>
      <c r="Q85" t="s">
        <v>190</v>
      </c>
      <c r="R85" t="s">
        <v>202</v>
      </c>
      <c r="Y85">
        <v>0</v>
      </c>
    </row>
    <row r="86" spans="1:25" x14ac:dyDescent="0.55000000000000004">
      <c r="A86" t="s">
        <v>29</v>
      </c>
      <c r="B86" t="s">
        <v>174</v>
      </c>
      <c r="C86" t="s">
        <v>26</v>
      </c>
      <c r="D86">
        <f t="shared" si="2"/>
        <v>465</v>
      </c>
      <c r="E86">
        <v>447</v>
      </c>
      <c r="F86">
        <v>18</v>
      </c>
      <c r="G86" t="s">
        <v>153</v>
      </c>
      <c r="H86">
        <f>ABS(テーブル1[[#This Row],[after_change]]-テーブル1[[#This Row],[before_change]])</f>
        <v>62.597623389254977</v>
      </c>
      <c r="I86">
        <v>714.53621321805599</v>
      </c>
      <c r="J86">
        <v>777.13383660731097</v>
      </c>
      <c r="K86" t="s">
        <v>161</v>
      </c>
      <c r="L86">
        <v>1</v>
      </c>
      <c r="M86" t="s">
        <v>214</v>
      </c>
      <c r="P86" t="s">
        <v>194</v>
      </c>
      <c r="Q86" t="s">
        <v>212</v>
      </c>
      <c r="Y86">
        <v>1</v>
      </c>
    </row>
    <row r="87" spans="1:25" x14ac:dyDescent="0.55000000000000004">
      <c r="A87" t="s">
        <v>29</v>
      </c>
      <c r="B87" t="s">
        <v>157</v>
      </c>
      <c r="C87" t="s">
        <v>75</v>
      </c>
      <c r="D87">
        <f t="shared" si="2"/>
        <v>137</v>
      </c>
      <c r="E87">
        <v>116</v>
      </c>
      <c r="F87">
        <v>21</v>
      </c>
      <c r="G87" t="s">
        <v>153</v>
      </c>
      <c r="H87">
        <f>ABS(テーブル1[[#This Row],[after_change]]-テーブル1[[#This Row],[before_change]])</f>
        <v>54</v>
      </c>
      <c r="I87">
        <v>716</v>
      </c>
      <c r="J87">
        <v>770</v>
      </c>
      <c r="K87" t="s">
        <v>161</v>
      </c>
      <c r="L87">
        <v>1</v>
      </c>
      <c r="M87" t="s">
        <v>214</v>
      </c>
      <c r="P87" t="s">
        <v>196</v>
      </c>
      <c r="Q87" t="s">
        <v>212</v>
      </c>
      <c r="Y87" t="s">
        <v>227</v>
      </c>
    </row>
    <row r="88" spans="1:25" x14ac:dyDescent="0.55000000000000004">
      <c r="A88" t="s">
        <v>29</v>
      </c>
      <c r="B88" t="s">
        <v>157</v>
      </c>
      <c r="C88" t="s">
        <v>76</v>
      </c>
      <c r="D88">
        <f t="shared" si="2"/>
        <v>156</v>
      </c>
      <c r="E88">
        <v>97</v>
      </c>
      <c r="F88">
        <v>59</v>
      </c>
      <c r="G88" t="s">
        <v>153</v>
      </c>
      <c r="H88">
        <f>ABS(テーブル1[[#This Row],[after_change]]-テーブル1[[#This Row],[before_change]])</f>
        <v>200</v>
      </c>
      <c r="I88">
        <v>770</v>
      </c>
      <c r="J88">
        <v>970</v>
      </c>
      <c r="K88" t="s">
        <v>161</v>
      </c>
      <c r="L88">
        <v>1</v>
      </c>
      <c r="M88" t="s">
        <v>214</v>
      </c>
      <c r="P88" t="s">
        <v>195</v>
      </c>
      <c r="Q88" t="s">
        <v>212</v>
      </c>
      <c r="Y88" t="s">
        <v>227</v>
      </c>
    </row>
    <row r="89" spans="1:25" x14ac:dyDescent="0.55000000000000004">
      <c r="A89" t="s">
        <v>79</v>
      </c>
      <c r="B89" t="s">
        <v>157</v>
      </c>
      <c r="C89" t="s">
        <v>26</v>
      </c>
      <c r="D89">
        <f t="shared" si="2"/>
        <v>465</v>
      </c>
      <c r="E89">
        <v>447</v>
      </c>
      <c r="F89">
        <v>18</v>
      </c>
      <c r="G89" t="s">
        <v>153</v>
      </c>
      <c r="H89">
        <f>ABS(テーブル1[[#This Row],[after_change]]-テーブル1[[#This Row],[before_change]])</f>
        <v>52</v>
      </c>
      <c r="I89">
        <v>970</v>
      </c>
      <c r="J89">
        <v>1022</v>
      </c>
      <c r="K89" t="s">
        <v>161</v>
      </c>
      <c r="L89">
        <v>1</v>
      </c>
      <c r="M89" t="s">
        <v>214</v>
      </c>
      <c r="P89" t="s">
        <v>194</v>
      </c>
      <c r="Q89" t="s">
        <v>212</v>
      </c>
      <c r="Y89" t="s">
        <v>227</v>
      </c>
    </row>
    <row r="90" spans="1:25" x14ac:dyDescent="0.55000000000000004">
      <c r="A90" t="s">
        <v>30</v>
      </c>
      <c r="B90" t="s">
        <v>174</v>
      </c>
      <c r="C90" t="s">
        <v>18</v>
      </c>
      <c r="D90">
        <f t="shared" si="2"/>
        <v>323</v>
      </c>
      <c r="E90">
        <v>26</v>
      </c>
      <c r="F90">
        <v>297</v>
      </c>
      <c r="G90" t="s">
        <v>171</v>
      </c>
      <c r="H90">
        <f>ABS(テーブル1[[#This Row],[after_change]]-テーブル1[[#This Row],[before_change]])</f>
        <v>237.74963131913705</v>
      </c>
      <c r="I90">
        <v>1124.2380271534901</v>
      </c>
      <c r="J90">
        <v>886.48839583435301</v>
      </c>
      <c r="K90" t="s">
        <v>159</v>
      </c>
      <c r="L90">
        <v>1</v>
      </c>
      <c r="M90" t="s">
        <v>190</v>
      </c>
      <c r="N90" t="s">
        <v>213</v>
      </c>
      <c r="P90" t="s">
        <v>129</v>
      </c>
      <c r="Q90" t="s">
        <v>190</v>
      </c>
      <c r="R90" t="s">
        <v>202</v>
      </c>
      <c r="Y90">
        <v>0</v>
      </c>
    </row>
    <row r="91" spans="1:25" x14ac:dyDescent="0.55000000000000004">
      <c r="A91" t="s">
        <v>30</v>
      </c>
      <c r="B91" t="s">
        <v>174</v>
      </c>
      <c r="C91" t="s">
        <v>18</v>
      </c>
      <c r="D91">
        <f t="shared" si="2"/>
        <v>323</v>
      </c>
      <c r="E91">
        <v>26</v>
      </c>
      <c r="F91">
        <v>297</v>
      </c>
      <c r="G91" t="s">
        <v>171</v>
      </c>
      <c r="H91">
        <f>ABS(テーブル1[[#This Row],[after_change]]-テーブル1[[#This Row],[before_change]])</f>
        <v>237.74963131913705</v>
      </c>
      <c r="I91">
        <v>1124.2380271534901</v>
      </c>
      <c r="J91">
        <v>886.48839583435301</v>
      </c>
      <c r="K91" t="s">
        <v>182</v>
      </c>
      <c r="L91">
        <v>1</v>
      </c>
      <c r="M91" t="s">
        <v>190</v>
      </c>
      <c r="N91" t="s">
        <v>213</v>
      </c>
      <c r="P91" t="s">
        <v>129</v>
      </c>
      <c r="Q91" t="s">
        <v>190</v>
      </c>
      <c r="R91" t="s">
        <v>202</v>
      </c>
      <c r="Y91">
        <v>0</v>
      </c>
    </row>
    <row r="92" spans="1:25" x14ac:dyDescent="0.55000000000000004">
      <c r="A92" t="s">
        <v>30</v>
      </c>
      <c r="B92" t="s">
        <v>174</v>
      </c>
      <c r="C92" t="s">
        <v>18</v>
      </c>
      <c r="D92">
        <f t="shared" si="2"/>
        <v>323</v>
      </c>
      <c r="E92">
        <v>26</v>
      </c>
      <c r="F92">
        <v>297</v>
      </c>
      <c r="G92" t="s">
        <v>171</v>
      </c>
      <c r="H92">
        <f>ABS(テーブル1[[#This Row],[after_change]]-テーブル1[[#This Row],[before_change]])</f>
        <v>237.74963131913705</v>
      </c>
      <c r="I92">
        <v>1124.2380271534901</v>
      </c>
      <c r="J92">
        <v>886.48839583435301</v>
      </c>
      <c r="K92" t="s">
        <v>161</v>
      </c>
      <c r="L92">
        <v>1</v>
      </c>
      <c r="M92" t="s">
        <v>190</v>
      </c>
      <c r="N92" t="s">
        <v>213</v>
      </c>
      <c r="P92" t="s">
        <v>129</v>
      </c>
      <c r="Q92" t="s">
        <v>190</v>
      </c>
      <c r="R92" t="s">
        <v>202</v>
      </c>
      <c r="Y92">
        <v>0</v>
      </c>
    </row>
    <row r="93" spans="1:25" x14ac:dyDescent="0.55000000000000004">
      <c r="A93" t="s">
        <v>30</v>
      </c>
      <c r="B93" t="s">
        <v>174</v>
      </c>
      <c r="C93" t="s">
        <v>2</v>
      </c>
      <c r="D93">
        <f t="shared" si="2"/>
        <v>2</v>
      </c>
      <c r="E93">
        <v>1</v>
      </c>
      <c r="F93">
        <v>1</v>
      </c>
      <c r="G93" t="s">
        <v>153</v>
      </c>
      <c r="H93">
        <f>ABS(テーブル1[[#This Row],[after_change]]-テーブル1[[#This Row],[before_change]])</f>
        <v>0.88051501882193861</v>
      </c>
      <c r="I93">
        <v>886.48839583435301</v>
      </c>
      <c r="J93">
        <v>887.36891085317495</v>
      </c>
      <c r="K93" t="s">
        <v>159</v>
      </c>
      <c r="L93">
        <v>0</v>
      </c>
      <c r="Y93" t="s">
        <v>227</v>
      </c>
    </row>
    <row r="94" spans="1:25" x14ac:dyDescent="0.55000000000000004">
      <c r="A94" t="s">
        <v>30</v>
      </c>
      <c r="B94" t="s">
        <v>174</v>
      </c>
      <c r="C94" t="s">
        <v>2</v>
      </c>
      <c r="D94">
        <f t="shared" si="2"/>
        <v>2</v>
      </c>
      <c r="E94">
        <v>1</v>
      </c>
      <c r="F94">
        <v>1</v>
      </c>
      <c r="G94" t="s">
        <v>153</v>
      </c>
      <c r="H94">
        <f>ABS(テーブル1[[#This Row],[after_change]]-テーブル1[[#This Row],[before_change]])</f>
        <v>0.88051501882193861</v>
      </c>
      <c r="I94">
        <v>886.48839583435301</v>
      </c>
      <c r="J94">
        <v>887.36891085317495</v>
      </c>
      <c r="K94" t="s">
        <v>182</v>
      </c>
      <c r="L94">
        <v>0</v>
      </c>
      <c r="Y94" t="s">
        <v>227</v>
      </c>
    </row>
    <row r="95" spans="1:25" x14ac:dyDescent="0.55000000000000004">
      <c r="A95" t="s">
        <v>30</v>
      </c>
      <c r="B95" t="s">
        <v>157</v>
      </c>
      <c r="C95" t="s">
        <v>75</v>
      </c>
      <c r="D95">
        <f t="shared" si="2"/>
        <v>137</v>
      </c>
      <c r="E95">
        <v>116</v>
      </c>
      <c r="F95">
        <v>21</v>
      </c>
      <c r="G95" t="s">
        <v>153</v>
      </c>
      <c r="H95">
        <f>ABS(テーブル1[[#This Row],[after_change]]-テーブル1[[#This Row],[before_change]])</f>
        <v>54</v>
      </c>
      <c r="I95">
        <v>537</v>
      </c>
      <c r="J95">
        <v>591</v>
      </c>
      <c r="K95" t="s">
        <v>159</v>
      </c>
      <c r="L95">
        <v>1</v>
      </c>
      <c r="M95" t="s">
        <v>214</v>
      </c>
      <c r="P95" t="s">
        <v>196</v>
      </c>
      <c r="Q95" t="s">
        <v>212</v>
      </c>
      <c r="Y95" t="s">
        <v>227</v>
      </c>
    </row>
    <row r="96" spans="1:25" x14ac:dyDescent="0.55000000000000004">
      <c r="A96" t="s">
        <v>96</v>
      </c>
      <c r="B96" t="s">
        <v>157</v>
      </c>
      <c r="C96" t="s">
        <v>76</v>
      </c>
      <c r="D96">
        <f t="shared" si="2"/>
        <v>156</v>
      </c>
      <c r="E96">
        <v>97</v>
      </c>
      <c r="F96">
        <v>59</v>
      </c>
      <c r="G96" t="s">
        <v>153</v>
      </c>
      <c r="H96">
        <f>ABS(テーブル1[[#This Row],[after_change]]-テーブル1[[#This Row],[before_change]])</f>
        <v>200</v>
      </c>
      <c r="I96">
        <v>591</v>
      </c>
      <c r="J96">
        <v>791</v>
      </c>
      <c r="K96" t="s">
        <v>159</v>
      </c>
      <c r="L96">
        <v>1</v>
      </c>
      <c r="M96" t="s">
        <v>214</v>
      </c>
      <c r="P96" t="s">
        <v>195</v>
      </c>
      <c r="Q96" t="s">
        <v>212</v>
      </c>
      <c r="Y96" t="s">
        <v>227</v>
      </c>
    </row>
    <row r="97" spans="1:25" x14ac:dyDescent="0.55000000000000004">
      <c r="A97" t="s">
        <v>80</v>
      </c>
      <c r="B97" t="s">
        <v>157</v>
      </c>
      <c r="C97" t="s">
        <v>18</v>
      </c>
      <c r="D97">
        <f t="shared" si="2"/>
        <v>323</v>
      </c>
      <c r="E97">
        <v>26</v>
      </c>
      <c r="F97">
        <v>297</v>
      </c>
      <c r="G97" t="s">
        <v>171</v>
      </c>
      <c r="H97">
        <f>ABS(テーブル1[[#This Row],[after_change]]-テーブル1[[#This Row],[before_change]])</f>
        <v>57</v>
      </c>
      <c r="I97">
        <v>791</v>
      </c>
      <c r="J97">
        <v>734</v>
      </c>
      <c r="K97" t="s">
        <v>159</v>
      </c>
      <c r="L97">
        <v>1</v>
      </c>
      <c r="M97" t="s">
        <v>190</v>
      </c>
      <c r="N97" t="s">
        <v>213</v>
      </c>
      <c r="P97" t="s">
        <v>129</v>
      </c>
      <c r="Q97" t="s">
        <v>190</v>
      </c>
      <c r="R97" t="s">
        <v>202</v>
      </c>
      <c r="Y97" t="s">
        <v>227</v>
      </c>
    </row>
    <row r="98" spans="1:25" x14ac:dyDescent="0.55000000000000004">
      <c r="A98" t="s">
        <v>80</v>
      </c>
      <c r="B98" t="s">
        <v>157</v>
      </c>
      <c r="C98" t="s">
        <v>31</v>
      </c>
      <c r="D98">
        <f t="shared" ref="D98:D130" si="4">E98+F98</f>
        <v>2</v>
      </c>
      <c r="E98">
        <v>1</v>
      </c>
      <c r="F98">
        <v>1</v>
      </c>
      <c r="G98" t="s">
        <v>171</v>
      </c>
      <c r="H98">
        <f>ABS(テーブル1[[#This Row],[after_change]]-テーブル1[[#This Row],[before_change]])</f>
        <v>1</v>
      </c>
      <c r="I98">
        <v>734</v>
      </c>
      <c r="J98">
        <v>733</v>
      </c>
      <c r="K98" t="s">
        <v>159</v>
      </c>
      <c r="L98">
        <v>0</v>
      </c>
      <c r="Y98" t="s">
        <v>227</v>
      </c>
    </row>
    <row r="99" spans="1:25" x14ac:dyDescent="0.55000000000000004">
      <c r="A99" t="s">
        <v>30</v>
      </c>
      <c r="B99" t="s">
        <v>157</v>
      </c>
      <c r="C99" t="s">
        <v>26</v>
      </c>
      <c r="D99">
        <f t="shared" si="4"/>
        <v>465</v>
      </c>
      <c r="E99">
        <v>447</v>
      </c>
      <c r="F99">
        <v>18</v>
      </c>
      <c r="G99" t="s">
        <v>153</v>
      </c>
      <c r="H99">
        <f>ABS(テーブル1[[#This Row],[after_change]]-テーブル1[[#This Row],[before_change]])</f>
        <v>109</v>
      </c>
      <c r="I99">
        <v>733</v>
      </c>
      <c r="J99">
        <v>842</v>
      </c>
      <c r="K99" t="s">
        <v>159</v>
      </c>
      <c r="L99">
        <v>1</v>
      </c>
      <c r="M99" t="s">
        <v>214</v>
      </c>
      <c r="P99" t="s">
        <v>194</v>
      </c>
      <c r="Q99" t="s">
        <v>212</v>
      </c>
      <c r="Y99" t="s">
        <v>227</v>
      </c>
    </row>
    <row r="100" spans="1:25" x14ac:dyDescent="0.55000000000000004">
      <c r="A100" t="s">
        <v>80</v>
      </c>
      <c r="B100" t="s">
        <v>157</v>
      </c>
      <c r="C100" t="s">
        <v>26</v>
      </c>
      <c r="D100">
        <f t="shared" si="4"/>
        <v>465</v>
      </c>
      <c r="E100">
        <v>447</v>
      </c>
      <c r="F100">
        <v>18</v>
      </c>
      <c r="G100" t="s">
        <v>153</v>
      </c>
      <c r="H100">
        <f>ABS(テーブル1[[#This Row],[after_change]]-テーブル1[[#This Row],[before_change]])</f>
        <v>109</v>
      </c>
      <c r="I100">
        <v>733</v>
      </c>
      <c r="J100">
        <v>842</v>
      </c>
      <c r="K100" t="s">
        <v>161</v>
      </c>
      <c r="L100">
        <v>1</v>
      </c>
      <c r="M100" t="s">
        <v>214</v>
      </c>
      <c r="P100" t="s">
        <v>194</v>
      </c>
      <c r="Q100" t="s">
        <v>212</v>
      </c>
      <c r="Y100" t="s">
        <v>227</v>
      </c>
    </row>
    <row r="101" spans="1:25" x14ac:dyDescent="0.55000000000000004">
      <c r="A101" t="s">
        <v>30</v>
      </c>
      <c r="B101" t="s">
        <v>174</v>
      </c>
      <c r="C101" t="s">
        <v>27</v>
      </c>
      <c r="D101">
        <f>E101+F101</f>
        <v>465</v>
      </c>
      <c r="E101">
        <v>447</v>
      </c>
      <c r="F101">
        <v>18</v>
      </c>
      <c r="G101" t="s">
        <v>171</v>
      </c>
      <c r="H101">
        <f>ABS(テーブル1[[#This Row],[after_change]]-テーブル1[[#This Row],[before_change]])</f>
        <v>7.9850212721908065E-2</v>
      </c>
      <c r="I101">
        <v>887.36891085317495</v>
      </c>
      <c r="J101">
        <v>887.28906064045304</v>
      </c>
      <c r="K101" t="s">
        <v>161</v>
      </c>
      <c r="L101">
        <v>1</v>
      </c>
      <c r="M101" t="s">
        <v>214</v>
      </c>
      <c r="P101" t="s">
        <v>194</v>
      </c>
      <c r="Q101" t="s">
        <v>212</v>
      </c>
      <c r="Y101">
        <v>1</v>
      </c>
    </row>
    <row r="102" spans="1:25" x14ac:dyDescent="0.55000000000000004">
      <c r="A102" t="s">
        <v>32</v>
      </c>
      <c r="B102" t="s">
        <v>174</v>
      </c>
      <c r="C102" t="s">
        <v>18</v>
      </c>
      <c r="D102">
        <f t="shared" si="4"/>
        <v>323</v>
      </c>
      <c r="E102">
        <v>26</v>
      </c>
      <c r="F102">
        <v>297</v>
      </c>
      <c r="G102" t="s">
        <v>171</v>
      </c>
      <c r="H102">
        <f>ABS(テーブル1[[#This Row],[after_change]]-テーブル1[[#This Row],[before_change]])</f>
        <v>351.710550183294</v>
      </c>
      <c r="I102">
        <v>1021.0161604989401</v>
      </c>
      <c r="J102">
        <v>669.30561031564605</v>
      </c>
      <c r="K102" t="s">
        <v>161</v>
      </c>
      <c r="L102">
        <v>1</v>
      </c>
      <c r="M102" t="s">
        <v>190</v>
      </c>
      <c r="N102" t="s">
        <v>213</v>
      </c>
      <c r="P102" t="s">
        <v>129</v>
      </c>
      <c r="Q102" t="s">
        <v>190</v>
      </c>
      <c r="R102" t="s">
        <v>202</v>
      </c>
      <c r="Y102">
        <v>0</v>
      </c>
    </row>
    <row r="103" spans="1:25" x14ac:dyDescent="0.55000000000000004">
      <c r="A103" t="s">
        <v>32</v>
      </c>
      <c r="B103" t="s">
        <v>174</v>
      </c>
      <c r="C103" t="s">
        <v>26</v>
      </c>
      <c r="D103">
        <f t="shared" si="4"/>
        <v>465</v>
      </c>
      <c r="E103">
        <v>447</v>
      </c>
      <c r="F103">
        <v>18</v>
      </c>
      <c r="G103" t="s">
        <v>153</v>
      </c>
      <c r="H103">
        <f>ABS(テーブル1[[#This Row],[after_change]]-テーブル1[[#This Row],[before_change]])</f>
        <v>64.404141561755978</v>
      </c>
      <c r="I103">
        <v>669.30561031564605</v>
      </c>
      <c r="J103">
        <v>733.70975187740203</v>
      </c>
      <c r="K103" t="s">
        <v>161</v>
      </c>
      <c r="L103">
        <v>1</v>
      </c>
      <c r="M103" t="s">
        <v>214</v>
      </c>
      <c r="P103" t="s">
        <v>194</v>
      </c>
      <c r="Q103" t="s">
        <v>212</v>
      </c>
      <c r="Y103">
        <v>1</v>
      </c>
    </row>
    <row r="104" spans="1:25" x14ac:dyDescent="0.55000000000000004">
      <c r="A104" t="s">
        <v>32</v>
      </c>
      <c r="B104" t="s">
        <v>157</v>
      </c>
      <c r="C104" t="s">
        <v>75</v>
      </c>
      <c r="D104">
        <f t="shared" si="4"/>
        <v>137</v>
      </c>
      <c r="E104">
        <v>116</v>
      </c>
      <c r="F104">
        <v>21</v>
      </c>
      <c r="G104" t="s">
        <v>153</v>
      </c>
      <c r="H104">
        <f>ABS(テーブル1[[#This Row],[after_change]]-テーブル1[[#This Row],[before_change]])</f>
        <v>54</v>
      </c>
      <c r="I104">
        <v>716</v>
      </c>
      <c r="J104">
        <v>770</v>
      </c>
      <c r="K104" t="s">
        <v>161</v>
      </c>
      <c r="L104">
        <v>1</v>
      </c>
      <c r="M104" t="s">
        <v>214</v>
      </c>
      <c r="P104" t="s">
        <v>196</v>
      </c>
      <c r="Q104" t="s">
        <v>212</v>
      </c>
      <c r="Y104" t="s">
        <v>227</v>
      </c>
    </row>
    <row r="105" spans="1:25" x14ac:dyDescent="0.55000000000000004">
      <c r="A105" t="s">
        <v>32</v>
      </c>
      <c r="B105" t="s">
        <v>157</v>
      </c>
      <c r="C105" t="s">
        <v>76</v>
      </c>
      <c r="D105">
        <f t="shared" si="4"/>
        <v>156</v>
      </c>
      <c r="E105">
        <v>97</v>
      </c>
      <c r="F105">
        <v>59</v>
      </c>
      <c r="G105" t="s">
        <v>153</v>
      </c>
      <c r="H105">
        <f>ABS(テーブル1[[#This Row],[after_change]]-テーブル1[[#This Row],[before_change]])</f>
        <v>200</v>
      </c>
      <c r="I105">
        <v>770</v>
      </c>
      <c r="J105">
        <v>970</v>
      </c>
      <c r="K105" t="s">
        <v>161</v>
      </c>
      <c r="L105">
        <v>1</v>
      </c>
      <c r="M105" t="s">
        <v>214</v>
      </c>
      <c r="P105" t="s">
        <v>195</v>
      </c>
      <c r="Q105" t="s">
        <v>212</v>
      </c>
      <c r="Y105" t="s">
        <v>227</v>
      </c>
    </row>
    <row r="106" spans="1:25" x14ac:dyDescent="0.55000000000000004">
      <c r="A106" t="s">
        <v>33</v>
      </c>
      <c r="B106" t="s">
        <v>174</v>
      </c>
      <c r="C106" t="s">
        <v>2</v>
      </c>
      <c r="D106">
        <f t="shared" si="4"/>
        <v>2</v>
      </c>
      <c r="E106">
        <v>1</v>
      </c>
      <c r="F106">
        <v>1</v>
      </c>
      <c r="G106" t="s">
        <v>153</v>
      </c>
      <c r="H106">
        <f>ABS(テーブル1[[#This Row],[after_change]]-テーブル1[[#This Row],[before_change]])</f>
        <v>6.0235007074993518E-2</v>
      </c>
      <c r="I106">
        <v>864.43503002847297</v>
      </c>
      <c r="J106">
        <v>864.37479502139797</v>
      </c>
      <c r="K106" t="s">
        <v>161</v>
      </c>
      <c r="L106">
        <v>0</v>
      </c>
      <c r="Y106" t="s">
        <v>227</v>
      </c>
    </row>
    <row r="107" spans="1:25" x14ac:dyDescent="0.55000000000000004">
      <c r="A107" t="s">
        <v>33</v>
      </c>
      <c r="B107" t="s">
        <v>174</v>
      </c>
      <c r="C107" t="s">
        <v>18</v>
      </c>
      <c r="D107">
        <f t="shared" si="4"/>
        <v>323</v>
      </c>
      <c r="E107">
        <v>26</v>
      </c>
      <c r="F107">
        <v>297</v>
      </c>
      <c r="G107" t="s">
        <v>171</v>
      </c>
      <c r="H107">
        <f>ABS(テーブル1[[#This Row],[after_change]]-テーブル1[[#This Row],[before_change]])</f>
        <v>253.51980197944704</v>
      </c>
      <c r="I107">
        <v>1117.95483200792</v>
      </c>
      <c r="J107">
        <v>864.43503002847297</v>
      </c>
      <c r="K107" t="s">
        <v>163</v>
      </c>
      <c r="L107">
        <v>1</v>
      </c>
      <c r="M107" t="s">
        <v>190</v>
      </c>
      <c r="N107" t="s">
        <v>213</v>
      </c>
      <c r="P107" t="s">
        <v>129</v>
      </c>
      <c r="Q107" t="s">
        <v>190</v>
      </c>
      <c r="R107" t="s">
        <v>202</v>
      </c>
      <c r="Y107">
        <v>0</v>
      </c>
    </row>
    <row r="108" spans="1:25" x14ac:dyDescent="0.55000000000000004">
      <c r="A108" t="s">
        <v>33</v>
      </c>
      <c r="B108" t="s">
        <v>174</v>
      </c>
      <c r="C108" t="s">
        <v>18</v>
      </c>
      <c r="D108">
        <f t="shared" si="4"/>
        <v>323</v>
      </c>
      <c r="E108">
        <v>26</v>
      </c>
      <c r="F108">
        <v>297</v>
      </c>
      <c r="G108" t="s">
        <v>171</v>
      </c>
      <c r="H108">
        <f>ABS(テーブル1[[#This Row],[after_change]]-テーブル1[[#This Row],[before_change]])</f>
        <v>253.51980197944704</v>
      </c>
      <c r="I108">
        <v>1117.95483200792</v>
      </c>
      <c r="J108">
        <v>864.43503002847297</v>
      </c>
      <c r="K108" t="s">
        <v>161</v>
      </c>
      <c r="L108">
        <v>1</v>
      </c>
      <c r="M108" t="s">
        <v>190</v>
      </c>
      <c r="N108" t="s">
        <v>213</v>
      </c>
      <c r="P108" t="s">
        <v>129</v>
      </c>
      <c r="Q108" t="s">
        <v>190</v>
      </c>
      <c r="R108" t="s">
        <v>202</v>
      </c>
      <c r="Y108">
        <v>0</v>
      </c>
    </row>
    <row r="109" spans="1:25" x14ac:dyDescent="0.55000000000000004">
      <c r="A109" t="s">
        <v>33</v>
      </c>
      <c r="B109" t="s">
        <v>157</v>
      </c>
      <c r="C109" t="s">
        <v>77</v>
      </c>
      <c r="D109">
        <f t="shared" si="4"/>
        <v>137</v>
      </c>
      <c r="E109">
        <v>116</v>
      </c>
      <c r="F109">
        <v>21</v>
      </c>
      <c r="G109" t="s">
        <v>153</v>
      </c>
      <c r="H109">
        <f>ABS(テーブル1[[#This Row],[after_change]]-テーブル1[[#This Row],[before_change]])</f>
        <v>54</v>
      </c>
      <c r="I109">
        <v>608</v>
      </c>
      <c r="J109">
        <v>662</v>
      </c>
      <c r="K109" t="s">
        <v>163</v>
      </c>
      <c r="L109">
        <v>1</v>
      </c>
      <c r="M109" t="s">
        <v>214</v>
      </c>
      <c r="P109" t="s">
        <v>196</v>
      </c>
      <c r="Q109" t="s">
        <v>212</v>
      </c>
      <c r="Y109" t="s">
        <v>227</v>
      </c>
    </row>
    <row r="110" spans="1:25" x14ac:dyDescent="0.55000000000000004">
      <c r="A110" t="s">
        <v>97</v>
      </c>
      <c r="B110" t="s">
        <v>157</v>
      </c>
      <c r="C110" t="s">
        <v>76</v>
      </c>
      <c r="D110">
        <f t="shared" si="4"/>
        <v>156</v>
      </c>
      <c r="E110">
        <v>97</v>
      </c>
      <c r="F110">
        <v>59</v>
      </c>
      <c r="G110" t="s">
        <v>153</v>
      </c>
      <c r="H110">
        <f>ABS(テーブル1[[#This Row],[after_change]]-テーブル1[[#This Row],[before_change]])</f>
        <v>200</v>
      </c>
      <c r="I110">
        <v>662</v>
      </c>
      <c r="J110">
        <v>862</v>
      </c>
      <c r="K110" t="s">
        <v>163</v>
      </c>
      <c r="L110">
        <v>1</v>
      </c>
      <c r="M110" t="s">
        <v>214</v>
      </c>
      <c r="P110" t="s">
        <v>195</v>
      </c>
      <c r="Q110" t="s">
        <v>212</v>
      </c>
      <c r="Y110" t="s">
        <v>227</v>
      </c>
    </row>
    <row r="111" spans="1:25" x14ac:dyDescent="0.55000000000000004">
      <c r="A111" t="s">
        <v>33</v>
      </c>
      <c r="B111" t="s">
        <v>157</v>
      </c>
      <c r="C111" t="s">
        <v>18</v>
      </c>
      <c r="D111">
        <f t="shared" si="4"/>
        <v>323</v>
      </c>
      <c r="E111">
        <v>26</v>
      </c>
      <c r="F111">
        <v>297</v>
      </c>
      <c r="G111" t="s">
        <v>171</v>
      </c>
      <c r="H111">
        <f>ABS(テーブル1[[#This Row],[after_change]]-テーブル1[[#This Row],[before_change]])</f>
        <v>38</v>
      </c>
      <c r="I111">
        <v>862</v>
      </c>
      <c r="J111">
        <v>824</v>
      </c>
      <c r="K111" t="s">
        <v>163</v>
      </c>
      <c r="L111">
        <v>1</v>
      </c>
      <c r="M111" t="s">
        <v>190</v>
      </c>
      <c r="N111" t="s">
        <v>213</v>
      </c>
      <c r="P111" t="s">
        <v>129</v>
      </c>
      <c r="Q111" t="s">
        <v>190</v>
      </c>
      <c r="R111" t="s">
        <v>202</v>
      </c>
      <c r="Y111" t="s">
        <v>227</v>
      </c>
    </row>
    <row r="112" spans="1:25" x14ac:dyDescent="0.55000000000000004">
      <c r="A112" t="s">
        <v>33</v>
      </c>
      <c r="B112" t="s">
        <v>157</v>
      </c>
      <c r="C112" t="s">
        <v>18</v>
      </c>
      <c r="D112">
        <f t="shared" si="4"/>
        <v>323</v>
      </c>
      <c r="E112">
        <v>26</v>
      </c>
      <c r="F112">
        <v>297</v>
      </c>
      <c r="G112" t="s">
        <v>171</v>
      </c>
      <c r="H112">
        <f>ABS(テーブル1[[#This Row],[after_change]]-テーブル1[[#This Row],[before_change]])</f>
        <v>38</v>
      </c>
      <c r="I112">
        <v>862</v>
      </c>
      <c r="J112">
        <v>824</v>
      </c>
      <c r="K112" t="s">
        <v>161</v>
      </c>
      <c r="L112">
        <v>1</v>
      </c>
      <c r="M112" t="s">
        <v>190</v>
      </c>
      <c r="N112" t="s">
        <v>213</v>
      </c>
      <c r="P112" t="s">
        <v>129</v>
      </c>
      <c r="Q112" t="s">
        <v>190</v>
      </c>
      <c r="R112" t="s">
        <v>202</v>
      </c>
      <c r="Y112" t="s">
        <v>227</v>
      </c>
    </row>
    <row r="113" spans="1:25" x14ac:dyDescent="0.55000000000000004">
      <c r="A113" t="s">
        <v>64</v>
      </c>
      <c r="B113" t="s">
        <v>157</v>
      </c>
      <c r="C113" t="s">
        <v>31</v>
      </c>
      <c r="D113">
        <f t="shared" si="4"/>
        <v>2</v>
      </c>
      <c r="E113">
        <v>1</v>
      </c>
      <c r="F113">
        <v>1</v>
      </c>
      <c r="G113" t="s">
        <v>171</v>
      </c>
      <c r="H113">
        <f>ABS(テーブル1[[#This Row],[after_change]]-テーブル1[[#This Row],[before_change]])</f>
        <v>1</v>
      </c>
      <c r="I113">
        <v>824</v>
      </c>
      <c r="J113">
        <v>823</v>
      </c>
      <c r="K113" t="s">
        <v>163</v>
      </c>
      <c r="L113">
        <v>0</v>
      </c>
      <c r="Y113" t="s">
        <v>227</v>
      </c>
    </row>
    <row r="114" spans="1:25" x14ac:dyDescent="0.55000000000000004">
      <c r="A114" t="s">
        <v>33</v>
      </c>
      <c r="B114" t="s">
        <v>157</v>
      </c>
      <c r="C114" t="s">
        <v>26</v>
      </c>
      <c r="D114">
        <f t="shared" si="4"/>
        <v>465</v>
      </c>
      <c r="E114">
        <v>447</v>
      </c>
      <c r="F114">
        <v>18</v>
      </c>
      <c r="G114" t="s">
        <v>153</v>
      </c>
      <c r="H114">
        <f>ABS(テーブル1[[#This Row],[after_change]]-テーブル1[[#This Row],[before_change]])</f>
        <v>90</v>
      </c>
      <c r="I114">
        <v>823</v>
      </c>
      <c r="J114">
        <v>913</v>
      </c>
      <c r="K114" t="s">
        <v>163</v>
      </c>
      <c r="L114">
        <v>1</v>
      </c>
      <c r="M114" t="s">
        <v>214</v>
      </c>
      <c r="P114" t="s">
        <v>194</v>
      </c>
      <c r="Q114" t="s">
        <v>212</v>
      </c>
      <c r="Y114" t="s">
        <v>227</v>
      </c>
    </row>
    <row r="115" spans="1:25" x14ac:dyDescent="0.55000000000000004">
      <c r="A115" t="s">
        <v>64</v>
      </c>
      <c r="B115" t="s">
        <v>157</v>
      </c>
      <c r="C115" t="s">
        <v>26</v>
      </c>
      <c r="D115">
        <f t="shared" si="4"/>
        <v>465</v>
      </c>
      <c r="E115">
        <v>447</v>
      </c>
      <c r="F115">
        <v>18</v>
      </c>
      <c r="G115" t="s">
        <v>153</v>
      </c>
      <c r="H115">
        <f>ABS(テーブル1[[#This Row],[after_change]]-テーブル1[[#This Row],[before_change]])</f>
        <v>90</v>
      </c>
      <c r="I115">
        <v>823</v>
      </c>
      <c r="J115">
        <v>913</v>
      </c>
      <c r="K115" t="s">
        <v>161</v>
      </c>
      <c r="L115">
        <v>1</v>
      </c>
      <c r="M115" t="s">
        <v>214</v>
      </c>
      <c r="P115" t="s">
        <v>194</v>
      </c>
      <c r="Q115" t="s">
        <v>212</v>
      </c>
      <c r="Y115" t="s">
        <v>227</v>
      </c>
    </row>
    <row r="116" spans="1:25" x14ac:dyDescent="0.55000000000000004">
      <c r="A116" t="s">
        <v>34</v>
      </c>
      <c r="B116" t="s">
        <v>174</v>
      </c>
      <c r="C116" t="s">
        <v>26</v>
      </c>
      <c r="D116">
        <f t="shared" si="4"/>
        <v>465</v>
      </c>
      <c r="E116">
        <v>447</v>
      </c>
      <c r="F116">
        <v>18</v>
      </c>
      <c r="G116" t="s">
        <v>153</v>
      </c>
      <c r="H116">
        <f>ABS(テーブル1[[#This Row],[after_change]]-テーブル1[[#This Row],[before_change]])</f>
        <v>64.404141561755978</v>
      </c>
      <c r="I116">
        <v>669.30561031564605</v>
      </c>
      <c r="J116">
        <v>733.70975187740203</v>
      </c>
      <c r="K116" t="s">
        <v>161</v>
      </c>
      <c r="L116">
        <v>1</v>
      </c>
      <c r="M116" t="s">
        <v>214</v>
      </c>
      <c r="P116" t="s">
        <v>194</v>
      </c>
      <c r="Q116" t="s">
        <v>212</v>
      </c>
      <c r="Y116">
        <v>1</v>
      </c>
    </row>
    <row r="117" spans="1:25" x14ac:dyDescent="0.55000000000000004">
      <c r="A117" t="s">
        <v>81</v>
      </c>
      <c r="B117" t="s">
        <v>157</v>
      </c>
      <c r="C117" t="s">
        <v>26</v>
      </c>
      <c r="D117">
        <f t="shared" si="4"/>
        <v>465</v>
      </c>
      <c r="E117">
        <v>447</v>
      </c>
      <c r="F117">
        <v>18</v>
      </c>
      <c r="G117" t="s">
        <v>153</v>
      </c>
      <c r="H117">
        <f>ABS(テーブル1[[#This Row],[after_change]]-テーブル1[[#This Row],[before_change]])</f>
        <v>180</v>
      </c>
      <c r="I117">
        <v>951</v>
      </c>
      <c r="J117">
        <v>1131</v>
      </c>
      <c r="K117" t="s">
        <v>164</v>
      </c>
      <c r="L117">
        <v>1</v>
      </c>
      <c r="M117" t="s">
        <v>214</v>
      </c>
      <c r="P117" t="s">
        <v>194</v>
      </c>
      <c r="Q117" t="s">
        <v>212</v>
      </c>
      <c r="Y117" t="s">
        <v>227</v>
      </c>
    </row>
    <row r="118" spans="1:25" x14ac:dyDescent="0.55000000000000004">
      <c r="A118" t="s">
        <v>81</v>
      </c>
      <c r="B118" t="s">
        <v>157</v>
      </c>
      <c r="C118" t="s">
        <v>26</v>
      </c>
      <c r="D118">
        <f t="shared" si="4"/>
        <v>465</v>
      </c>
      <c r="E118">
        <v>447</v>
      </c>
      <c r="F118">
        <v>18</v>
      </c>
      <c r="G118" t="s">
        <v>153</v>
      </c>
      <c r="H118">
        <f>ABS(テーブル1[[#This Row],[after_change]]-テーブル1[[#This Row],[before_change]])</f>
        <v>180</v>
      </c>
      <c r="I118">
        <v>951</v>
      </c>
      <c r="J118">
        <v>1131</v>
      </c>
      <c r="K118" t="s">
        <v>161</v>
      </c>
      <c r="L118">
        <v>1</v>
      </c>
      <c r="M118" t="s">
        <v>214</v>
      </c>
      <c r="P118" t="s">
        <v>194</v>
      </c>
      <c r="Q118" t="s">
        <v>212</v>
      </c>
      <c r="Y118" t="s">
        <v>227</v>
      </c>
    </row>
    <row r="119" spans="1:25" x14ac:dyDescent="0.55000000000000004">
      <c r="A119" t="s">
        <v>111</v>
      </c>
      <c r="B119" t="s">
        <v>157</v>
      </c>
      <c r="C119" t="s">
        <v>26</v>
      </c>
      <c r="D119">
        <f t="shared" si="4"/>
        <v>465</v>
      </c>
      <c r="E119">
        <v>447</v>
      </c>
      <c r="F119">
        <v>18</v>
      </c>
      <c r="G119" t="s">
        <v>153</v>
      </c>
      <c r="H119">
        <f>ABS(テーブル1[[#This Row],[after_change]]-テーブル1[[#This Row],[before_change]])</f>
        <v>45</v>
      </c>
      <c r="I119">
        <v>740</v>
      </c>
      <c r="J119">
        <v>785</v>
      </c>
      <c r="K119" t="s">
        <v>165</v>
      </c>
      <c r="L119">
        <v>1</v>
      </c>
      <c r="M119" t="s">
        <v>214</v>
      </c>
      <c r="P119" t="s">
        <v>194</v>
      </c>
      <c r="Q119" t="s">
        <v>212</v>
      </c>
      <c r="Y119" t="s">
        <v>227</v>
      </c>
    </row>
    <row r="120" spans="1:25" x14ac:dyDescent="0.55000000000000004">
      <c r="A120" t="s">
        <v>121</v>
      </c>
      <c r="B120" t="s">
        <v>157</v>
      </c>
      <c r="C120" t="s">
        <v>82</v>
      </c>
      <c r="D120">
        <f t="shared" si="4"/>
        <v>27</v>
      </c>
      <c r="E120">
        <v>12</v>
      </c>
      <c r="F120">
        <v>15</v>
      </c>
      <c r="G120" t="s">
        <v>153</v>
      </c>
      <c r="H120">
        <f>ABS(テーブル1[[#This Row],[after_change]]-テーブル1[[#This Row],[before_change]])</f>
        <v>111</v>
      </c>
      <c r="I120">
        <v>719</v>
      </c>
      <c r="J120">
        <v>830</v>
      </c>
      <c r="K120" t="s">
        <v>161</v>
      </c>
      <c r="L120">
        <v>0</v>
      </c>
      <c r="Y120" t="s">
        <v>227</v>
      </c>
    </row>
    <row r="121" spans="1:25" x14ac:dyDescent="0.55000000000000004">
      <c r="A121" t="s">
        <v>121</v>
      </c>
      <c r="B121" t="s">
        <v>157</v>
      </c>
      <c r="C121" t="s">
        <v>83</v>
      </c>
      <c r="D121">
        <f t="shared" si="4"/>
        <v>0</v>
      </c>
      <c r="E121">
        <v>0</v>
      </c>
      <c r="F121">
        <v>0</v>
      </c>
      <c r="G121" t="s">
        <v>171</v>
      </c>
      <c r="H121">
        <f>ABS(テーブル1[[#This Row],[after_change]]-テーブル1[[#This Row],[before_change]])</f>
        <v>111</v>
      </c>
      <c r="I121">
        <v>830</v>
      </c>
      <c r="J121">
        <v>719</v>
      </c>
      <c r="K121" t="s">
        <v>161</v>
      </c>
      <c r="L121">
        <v>0</v>
      </c>
      <c r="Y121" t="s">
        <v>227</v>
      </c>
    </row>
    <row r="122" spans="1:25" x14ac:dyDescent="0.55000000000000004">
      <c r="A122" t="s">
        <v>121</v>
      </c>
      <c r="B122" t="s">
        <v>157</v>
      </c>
      <c r="C122" t="s">
        <v>84</v>
      </c>
      <c r="D122">
        <f t="shared" si="4"/>
        <v>0</v>
      </c>
      <c r="E122">
        <v>0</v>
      </c>
      <c r="F122">
        <v>0</v>
      </c>
      <c r="G122" t="s">
        <v>153</v>
      </c>
      <c r="H122">
        <f>ABS(テーブル1[[#This Row],[after_change]]-テーブル1[[#This Row],[before_change]])</f>
        <v>111</v>
      </c>
      <c r="I122">
        <v>719</v>
      </c>
      <c r="J122">
        <v>830</v>
      </c>
      <c r="K122" t="s">
        <v>161</v>
      </c>
      <c r="L122">
        <v>0</v>
      </c>
      <c r="Y122" t="s">
        <v>227</v>
      </c>
    </row>
    <row r="123" spans="1:25" x14ac:dyDescent="0.55000000000000004">
      <c r="A123" t="s">
        <v>120</v>
      </c>
      <c r="B123" t="s">
        <v>175</v>
      </c>
      <c r="C123" t="s">
        <v>73</v>
      </c>
      <c r="D123">
        <f t="shared" si="4"/>
        <v>7</v>
      </c>
      <c r="E123">
        <v>4</v>
      </c>
      <c r="F123">
        <v>3</v>
      </c>
      <c r="G123" t="s">
        <v>153</v>
      </c>
      <c r="H123">
        <f>ABS(テーブル1[[#This Row],[after_change]]-テーブル1[[#This Row],[before_change]])</f>
        <v>13</v>
      </c>
      <c r="I123">
        <v>15</v>
      </c>
      <c r="J123">
        <v>28</v>
      </c>
      <c r="K123" t="s">
        <v>183</v>
      </c>
      <c r="L123">
        <v>0</v>
      </c>
      <c r="Y123" t="s">
        <v>227</v>
      </c>
    </row>
    <row r="124" spans="1:25" x14ac:dyDescent="0.55000000000000004">
      <c r="A124" t="s">
        <v>85</v>
      </c>
      <c r="B124" t="s">
        <v>174</v>
      </c>
      <c r="C124" t="s">
        <v>43</v>
      </c>
      <c r="D124">
        <f t="shared" si="4"/>
        <v>71</v>
      </c>
      <c r="E124">
        <v>35</v>
      </c>
      <c r="F124">
        <v>36</v>
      </c>
      <c r="G124" t="s">
        <v>171</v>
      </c>
      <c r="H124">
        <f>ABS(テーブル1[[#This Row],[after_change]]-テーブル1[[#This Row],[before_change]])</f>
        <v>7.1741401664929754</v>
      </c>
      <c r="I124">
        <v>733.34197108058595</v>
      </c>
      <c r="J124">
        <v>726.16783091409297</v>
      </c>
      <c r="K124" t="s">
        <v>166</v>
      </c>
      <c r="L124">
        <v>1</v>
      </c>
      <c r="M124" t="s">
        <v>189</v>
      </c>
      <c r="P124" t="s">
        <v>124</v>
      </c>
      <c r="Q124" t="s">
        <v>199</v>
      </c>
      <c r="R124" t="s">
        <v>210</v>
      </c>
      <c r="Y124">
        <v>1</v>
      </c>
    </row>
    <row r="125" spans="1:25" x14ac:dyDescent="0.55000000000000004">
      <c r="A125" t="s">
        <v>85</v>
      </c>
      <c r="B125" t="s">
        <v>174</v>
      </c>
      <c r="C125" t="s">
        <v>17</v>
      </c>
      <c r="D125">
        <f t="shared" si="4"/>
        <v>3</v>
      </c>
      <c r="E125">
        <v>2</v>
      </c>
      <c r="F125">
        <v>1</v>
      </c>
      <c r="G125" t="s">
        <v>171</v>
      </c>
      <c r="H125">
        <f>ABS(テーブル1[[#This Row],[after_change]]-テーブル1[[#This Row],[before_change]])</f>
        <v>2.6267124555130295</v>
      </c>
      <c r="I125">
        <v>726.16783091409297</v>
      </c>
      <c r="J125">
        <v>723.54111845857994</v>
      </c>
      <c r="K125" t="s">
        <v>184</v>
      </c>
      <c r="L125">
        <v>1</v>
      </c>
      <c r="M125" t="s">
        <v>214</v>
      </c>
      <c r="P125" t="s">
        <v>125</v>
      </c>
      <c r="Q125" t="s">
        <v>200</v>
      </c>
      <c r="R125" t="s">
        <v>211</v>
      </c>
      <c r="Y125">
        <v>1</v>
      </c>
    </row>
    <row r="126" spans="1:25" x14ac:dyDescent="0.55000000000000004">
      <c r="A126" t="s">
        <v>35</v>
      </c>
      <c r="B126" t="s">
        <v>174</v>
      </c>
      <c r="C126" t="s">
        <v>17</v>
      </c>
      <c r="D126">
        <f t="shared" si="4"/>
        <v>3</v>
      </c>
      <c r="E126">
        <v>2</v>
      </c>
      <c r="F126">
        <v>1</v>
      </c>
      <c r="G126" t="s">
        <v>171</v>
      </c>
      <c r="H126">
        <f>ABS(テーブル1[[#This Row],[after_change]]-テーブル1[[#This Row],[before_change]])</f>
        <v>2.6267124555130295</v>
      </c>
      <c r="I126">
        <v>726.16783091409297</v>
      </c>
      <c r="J126">
        <v>723.54111845857994</v>
      </c>
      <c r="K126" t="s">
        <v>166</v>
      </c>
      <c r="L126">
        <v>1</v>
      </c>
      <c r="M126" t="s">
        <v>214</v>
      </c>
      <c r="P126" t="s">
        <v>125</v>
      </c>
      <c r="Q126" t="s">
        <v>200</v>
      </c>
      <c r="R126" t="s">
        <v>211</v>
      </c>
      <c r="S126" t="s">
        <v>204</v>
      </c>
      <c r="T126" t="s">
        <v>203</v>
      </c>
      <c r="U126" t="s">
        <v>201</v>
      </c>
      <c r="Y126">
        <v>1</v>
      </c>
    </row>
    <row r="127" spans="1:25" x14ac:dyDescent="0.55000000000000004">
      <c r="A127" t="s">
        <v>85</v>
      </c>
      <c r="B127" t="s">
        <v>157</v>
      </c>
      <c r="C127" t="s">
        <v>17</v>
      </c>
      <c r="D127">
        <f t="shared" si="4"/>
        <v>3</v>
      </c>
      <c r="E127">
        <v>2</v>
      </c>
      <c r="F127">
        <v>1</v>
      </c>
      <c r="G127" t="s">
        <v>153</v>
      </c>
      <c r="H127">
        <f>ABS(テーブル1[[#This Row],[after_change]]-テーブル1[[#This Row],[before_change]])</f>
        <v>50</v>
      </c>
      <c r="I127">
        <v>0</v>
      </c>
      <c r="J127">
        <v>50</v>
      </c>
      <c r="K127" t="s">
        <v>166</v>
      </c>
      <c r="L127">
        <v>1</v>
      </c>
      <c r="M127" t="s">
        <v>214</v>
      </c>
      <c r="P127" t="s">
        <v>125</v>
      </c>
      <c r="Q127" t="s">
        <v>200</v>
      </c>
      <c r="S127" t="s">
        <v>204</v>
      </c>
      <c r="T127" t="s">
        <v>203</v>
      </c>
      <c r="Y127" t="s">
        <v>227</v>
      </c>
    </row>
    <row r="128" spans="1:25" x14ac:dyDescent="0.55000000000000004">
      <c r="A128" t="s">
        <v>113</v>
      </c>
      <c r="B128" t="s">
        <v>174</v>
      </c>
      <c r="C128" t="s">
        <v>43</v>
      </c>
      <c r="D128">
        <f t="shared" si="4"/>
        <v>71</v>
      </c>
      <c r="E128">
        <v>35</v>
      </c>
      <c r="F128">
        <v>36</v>
      </c>
      <c r="G128" t="s">
        <v>171</v>
      </c>
      <c r="H128">
        <f>ABS(テーブル1[[#This Row],[after_change]]-テーブル1[[#This Row],[before_change]])</f>
        <v>16.484205398798053</v>
      </c>
      <c r="I128">
        <v>690.01594184482406</v>
      </c>
      <c r="J128">
        <v>673.531736446026</v>
      </c>
      <c r="K128" t="s">
        <v>185</v>
      </c>
      <c r="L128">
        <v>1</v>
      </c>
      <c r="M128" t="s">
        <v>213</v>
      </c>
      <c r="P128" t="s">
        <v>124</v>
      </c>
      <c r="Q128" t="s">
        <v>199</v>
      </c>
      <c r="R128" t="s">
        <v>210</v>
      </c>
      <c r="Y128">
        <v>1</v>
      </c>
    </row>
    <row r="129" spans="1:25" x14ac:dyDescent="0.55000000000000004">
      <c r="A129" t="s">
        <v>36</v>
      </c>
      <c r="B129" t="s">
        <v>174</v>
      </c>
      <c r="C129" t="s">
        <v>17</v>
      </c>
      <c r="D129">
        <f t="shared" si="4"/>
        <v>3</v>
      </c>
      <c r="E129">
        <v>2</v>
      </c>
      <c r="F129">
        <v>1</v>
      </c>
      <c r="G129" t="s">
        <v>153</v>
      </c>
      <c r="H129">
        <f>ABS(テーブル1[[#This Row],[after_change]]-テーブル1[[#This Row],[before_change]])</f>
        <v>26.086016330444977</v>
      </c>
      <c r="I129">
        <v>673.531736446026</v>
      </c>
      <c r="J129">
        <v>699.61775277647098</v>
      </c>
      <c r="K129" t="s">
        <v>185</v>
      </c>
      <c r="L129">
        <v>1</v>
      </c>
      <c r="M129" t="s">
        <v>214</v>
      </c>
      <c r="P129" t="s">
        <v>125</v>
      </c>
      <c r="Q129" t="s">
        <v>200</v>
      </c>
      <c r="R129" t="s">
        <v>211</v>
      </c>
      <c r="S129" t="s">
        <v>204</v>
      </c>
      <c r="T129" t="s">
        <v>203</v>
      </c>
      <c r="U129" t="s">
        <v>201</v>
      </c>
      <c r="Y129">
        <v>1</v>
      </c>
    </row>
    <row r="130" spans="1:25" x14ac:dyDescent="0.55000000000000004">
      <c r="A130" t="s">
        <v>107</v>
      </c>
      <c r="B130" t="s">
        <v>174</v>
      </c>
      <c r="C130" t="s">
        <v>37</v>
      </c>
      <c r="D130">
        <f t="shared" si="4"/>
        <v>72</v>
      </c>
      <c r="E130">
        <v>51</v>
      </c>
      <c r="F130">
        <v>21</v>
      </c>
      <c r="G130" t="s">
        <v>171</v>
      </c>
      <c r="H130">
        <f>ABS(テーブル1[[#This Row],[after_change]]-テーブル1[[#This Row],[before_change]])</f>
        <v>114.81234352804904</v>
      </c>
      <c r="I130">
        <v>1034.28284332671</v>
      </c>
      <c r="J130">
        <v>919.47049979866097</v>
      </c>
      <c r="K130" t="s">
        <v>186</v>
      </c>
      <c r="L130">
        <v>1</v>
      </c>
      <c r="M130" t="s">
        <v>190</v>
      </c>
      <c r="P130" t="s">
        <v>192</v>
      </c>
      <c r="Q130" t="s">
        <v>212</v>
      </c>
      <c r="Y130">
        <v>1</v>
      </c>
    </row>
    <row r="131" spans="1:25" x14ac:dyDescent="0.55000000000000004">
      <c r="A131" t="s">
        <v>100</v>
      </c>
      <c r="B131" t="s">
        <v>174</v>
      </c>
      <c r="C131" t="s">
        <v>37</v>
      </c>
      <c r="D131">
        <f t="shared" ref="D131:D162" si="5">E131+F131</f>
        <v>72</v>
      </c>
      <c r="E131">
        <v>51</v>
      </c>
      <c r="F131">
        <v>21</v>
      </c>
      <c r="G131" t="s">
        <v>171</v>
      </c>
      <c r="H131">
        <f>ABS(テーブル1[[#This Row],[after_change]]-テーブル1[[#This Row],[before_change]])</f>
        <v>114.13572927131099</v>
      </c>
      <c r="I131">
        <v>1024.49060513017</v>
      </c>
      <c r="J131">
        <v>910.35487585885903</v>
      </c>
      <c r="K131" t="s">
        <v>169</v>
      </c>
      <c r="L131">
        <v>1</v>
      </c>
      <c r="M131" t="s">
        <v>190</v>
      </c>
      <c r="P131" t="s">
        <v>192</v>
      </c>
      <c r="Q131" t="s">
        <v>212</v>
      </c>
      <c r="Y131">
        <v>1</v>
      </c>
    </row>
    <row r="132" spans="1:25" x14ac:dyDescent="0.55000000000000004">
      <c r="A132" t="s">
        <v>66</v>
      </c>
      <c r="B132" t="s">
        <v>174</v>
      </c>
      <c r="C132" t="s">
        <v>65</v>
      </c>
      <c r="D132">
        <f t="shared" si="5"/>
        <v>31925</v>
      </c>
      <c r="E132">
        <v>26867</v>
      </c>
      <c r="F132">
        <v>5058</v>
      </c>
      <c r="G132" t="s">
        <v>153</v>
      </c>
      <c r="H132">
        <f>ABS(テーブル1[[#This Row],[after_change]]-テーブル1[[#This Row],[before_change]])</f>
        <v>20.04847140619006</v>
      </c>
      <c r="I132">
        <v>1004.44213372398</v>
      </c>
      <c r="J132">
        <v>1024.49060513017</v>
      </c>
      <c r="K132" t="s">
        <v>169</v>
      </c>
      <c r="L132">
        <v>1</v>
      </c>
      <c r="M132" t="s">
        <v>189</v>
      </c>
      <c r="N132" t="s">
        <v>215</v>
      </c>
      <c r="O132" t="s">
        <v>220</v>
      </c>
      <c r="P132" t="s">
        <v>130</v>
      </c>
      <c r="Q132" t="s">
        <v>200</v>
      </c>
      <c r="R132" t="s">
        <v>220</v>
      </c>
      <c r="S132" t="s">
        <v>207</v>
      </c>
      <c r="T132" t="s">
        <v>224</v>
      </c>
      <c r="V132" t="s">
        <v>226</v>
      </c>
      <c r="W132" t="s">
        <v>200</v>
      </c>
      <c r="X132" t="s">
        <v>202</v>
      </c>
      <c r="Y132" t="s">
        <v>227</v>
      </c>
    </row>
    <row r="133" spans="1:25" x14ac:dyDescent="0.55000000000000004">
      <c r="A133" t="s">
        <v>66</v>
      </c>
      <c r="B133" t="s">
        <v>157</v>
      </c>
      <c r="C133" t="s">
        <v>86</v>
      </c>
      <c r="D133">
        <f t="shared" si="5"/>
        <v>31925</v>
      </c>
      <c r="E133">
        <v>26867</v>
      </c>
      <c r="F133">
        <v>5058</v>
      </c>
      <c r="G133" t="s">
        <v>171</v>
      </c>
      <c r="H133">
        <f>ABS(テーブル1[[#This Row],[after_change]]-テーブル1[[#This Row],[before_change]])</f>
        <v>35</v>
      </c>
      <c r="I133">
        <v>35</v>
      </c>
      <c r="J133">
        <v>0</v>
      </c>
      <c r="K133" t="s">
        <v>169</v>
      </c>
      <c r="L133">
        <v>1</v>
      </c>
      <c r="M133" t="s">
        <v>189</v>
      </c>
      <c r="N133" t="s">
        <v>215</v>
      </c>
      <c r="O133" t="s">
        <v>220</v>
      </c>
      <c r="P133" t="s">
        <v>130</v>
      </c>
      <c r="Q133" t="s">
        <v>200</v>
      </c>
      <c r="R133" t="s">
        <v>220</v>
      </c>
      <c r="S133" t="s">
        <v>207</v>
      </c>
      <c r="T133" t="s">
        <v>208</v>
      </c>
      <c r="V133" t="s">
        <v>219</v>
      </c>
      <c r="W133" t="s">
        <v>200</v>
      </c>
      <c r="X133" t="s">
        <v>202</v>
      </c>
      <c r="Y133" t="s">
        <v>227</v>
      </c>
    </row>
    <row r="134" spans="1:25" x14ac:dyDescent="0.55000000000000004">
      <c r="A134" t="s">
        <v>38</v>
      </c>
      <c r="B134" t="s">
        <v>174</v>
      </c>
      <c r="C134" t="s">
        <v>1</v>
      </c>
      <c r="D134">
        <f t="shared" si="5"/>
        <v>3</v>
      </c>
      <c r="E134">
        <v>2</v>
      </c>
      <c r="F134">
        <v>1</v>
      </c>
      <c r="G134" t="s">
        <v>153</v>
      </c>
      <c r="H134">
        <f>ABS(テーブル1[[#This Row],[after_change]]-テーブル1[[#This Row],[before_change]])</f>
        <v>102.46657698465998</v>
      </c>
      <c r="I134">
        <v>501.28834017958098</v>
      </c>
      <c r="J134">
        <v>603.75491716424096</v>
      </c>
      <c r="K134" t="s">
        <v>167</v>
      </c>
      <c r="L134">
        <v>1</v>
      </c>
      <c r="M134" t="s">
        <v>215</v>
      </c>
      <c r="N134" s="4"/>
      <c r="O134" s="4"/>
      <c r="P134" t="s">
        <v>198</v>
      </c>
      <c r="Q134" t="s">
        <v>212</v>
      </c>
      <c r="Y134">
        <v>1</v>
      </c>
    </row>
    <row r="135" spans="1:25" x14ac:dyDescent="0.55000000000000004">
      <c r="A135" t="s">
        <v>38</v>
      </c>
      <c r="B135" t="s">
        <v>174</v>
      </c>
      <c r="C135" t="s">
        <v>68</v>
      </c>
      <c r="D135">
        <f t="shared" si="5"/>
        <v>76</v>
      </c>
      <c r="E135">
        <v>29</v>
      </c>
      <c r="F135">
        <v>47</v>
      </c>
      <c r="G135" t="s">
        <v>171</v>
      </c>
      <c r="H135">
        <f>ABS(テーブル1[[#This Row],[after_change]]-テーブル1[[#This Row],[before_change]])</f>
        <v>1.8190042311319985</v>
      </c>
      <c r="I135">
        <v>503.10734441071298</v>
      </c>
      <c r="J135">
        <v>501.28834017958098</v>
      </c>
      <c r="K135" t="s">
        <v>167</v>
      </c>
      <c r="L135">
        <v>1</v>
      </c>
      <c r="P135" t="s">
        <v>221</v>
      </c>
      <c r="Q135" t="s">
        <v>224</v>
      </c>
      <c r="Y135" t="s">
        <v>227</v>
      </c>
    </row>
    <row r="136" spans="1:25" x14ac:dyDescent="0.55000000000000004">
      <c r="A136" t="s">
        <v>67</v>
      </c>
      <c r="B136" t="s">
        <v>157</v>
      </c>
      <c r="C136" t="s">
        <v>68</v>
      </c>
      <c r="D136">
        <f t="shared" si="5"/>
        <v>76</v>
      </c>
      <c r="E136">
        <v>29</v>
      </c>
      <c r="F136">
        <v>47</v>
      </c>
      <c r="G136" t="s">
        <v>153</v>
      </c>
      <c r="H136">
        <f>ABS(テーブル1[[#This Row],[after_change]]-テーブル1[[#This Row],[before_change]])</f>
        <v>29</v>
      </c>
      <c r="I136">
        <v>0</v>
      </c>
      <c r="J136">
        <v>29</v>
      </c>
      <c r="K136" t="s">
        <v>167</v>
      </c>
      <c r="L136">
        <v>1</v>
      </c>
      <c r="P136" t="s">
        <v>221</v>
      </c>
      <c r="Q136" t="s">
        <v>224</v>
      </c>
      <c r="Y136" t="s">
        <v>227</v>
      </c>
    </row>
    <row r="137" spans="1:25" x14ac:dyDescent="0.55000000000000004">
      <c r="A137" t="s">
        <v>67</v>
      </c>
      <c r="B137" t="s">
        <v>157</v>
      </c>
      <c r="C137" t="s">
        <v>87</v>
      </c>
      <c r="D137">
        <f t="shared" si="5"/>
        <v>3</v>
      </c>
      <c r="E137">
        <v>2</v>
      </c>
      <c r="F137">
        <v>1</v>
      </c>
      <c r="G137" t="s">
        <v>171</v>
      </c>
      <c r="H137">
        <f>ABS(テーブル1[[#This Row],[after_change]]-テーブル1[[#This Row],[before_change]])</f>
        <v>29</v>
      </c>
      <c r="I137">
        <v>29</v>
      </c>
      <c r="J137">
        <v>0</v>
      </c>
      <c r="K137" t="s">
        <v>167</v>
      </c>
      <c r="L137">
        <v>1</v>
      </c>
      <c r="M137" t="s">
        <v>215</v>
      </c>
      <c r="P137" t="s">
        <v>198</v>
      </c>
      <c r="Q137" t="s">
        <v>212</v>
      </c>
      <c r="Y137" t="s">
        <v>227</v>
      </c>
    </row>
    <row r="138" spans="1:25" x14ac:dyDescent="0.55000000000000004">
      <c r="A138" t="s">
        <v>118</v>
      </c>
      <c r="B138" t="s">
        <v>174</v>
      </c>
      <c r="C138" t="s">
        <v>69</v>
      </c>
      <c r="D138">
        <f t="shared" si="5"/>
        <v>31923</v>
      </c>
      <c r="E138">
        <v>26867</v>
      </c>
      <c r="F138">
        <v>5056</v>
      </c>
      <c r="G138" t="s">
        <v>153</v>
      </c>
      <c r="H138">
        <f>ABS(テーブル1[[#This Row],[after_change]]-テーブル1[[#This Row],[before_change]])</f>
        <v>53.122055406812024</v>
      </c>
      <c r="I138">
        <v>772.24089505801203</v>
      </c>
      <c r="J138">
        <v>825.36295046482405</v>
      </c>
      <c r="K138" t="s">
        <v>170</v>
      </c>
      <c r="L138">
        <v>1</v>
      </c>
      <c r="M138" t="s">
        <v>214</v>
      </c>
      <c r="P138" t="s">
        <v>192</v>
      </c>
      <c r="Q138" t="s">
        <v>212</v>
      </c>
      <c r="Y138">
        <v>1</v>
      </c>
    </row>
    <row r="139" spans="1:25" x14ac:dyDescent="0.55000000000000004">
      <c r="A139" t="s">
        <v>104</v>
      </c>
      <c r="B139" t="s">
        <v>174</v>
      </c>
      <c r="C139" t="s">
        <v>1</v>
      </c>
      <c r="D139">
        <f t="shared" si="5"/>
        <v>3</v>
      </c>
      <c r="E139">
        <v>2</v>
      </c>
      <c r="F139">
        <v>1</v>
      </c>
      <c r="G139" t="s">
        <v>153</v>
      </c>
      <c r="H139">
        <f>ABS(テーブル1[[#This Row],[after_change]]-テーブル1[[#This Row],[before_change]])</f>
        <v>102.46657698465998</v>
      </c>
      <c r="I139">
        <v>501.28834017958098</v>
      </c>
      <c r="J139">
        <v>603.75491716424096</v>
      </c>
      <c r="K139" t="s">
        <v>167</v>
      </c>
      <c r="L139">
        <v>1</v>
      </c>
      <c r="M139" t="s">
        <v>215</v>
      </c>
      <c r="N139" s="4"/>
      <c r="O139" s="4"/>
      <c r="P139" t="s">
        <v>198</v>
      </c>
      <c r="Q139" t="s">
        <v>212</v>
      </c>
      <c r="S139" t="s">
        <v>221</v>
      </c>
      <c r="T139" t="s">
        <v>229</v>
      </c>
      <c r="Y139">
        <v>1</v>
      </c>
    </row>
    <row r="140" spans="1:25" x14ac:dyDescent="0.55000000000000004">
      <c r="A140" t="s">
        <v>39</v>
      </c>
      <c r="B140" t="s">
        <v>157</v>
      </c>
      <c r="C140" t="s">
        <v>87</v>
      </c>
      <c r="D140">
        <f t="shared" si="5"/>
        <v>3</v>
      </c>
      <c r="E140">
        <v>2</v>
      </c>
      <c r="F140">
        <v>1</v>
      </c>
      <c r="G140" t="s">
        <v>171</v>
      </c>
      <c r="H140">
        <f>ABS(テーブル1[[#This Row],[after_change]]-テーブル1[[#This Row],[before_change]])</f>
        <v>29</v>
      </c>
      <c r="I140">
        <v>29</v>
      </c>
      <c r="J140">
        <v>0</v>
      </c>
      <c r="K140" t="s">
        <v>167</v>
      </c>
      <c r="L140">
        <v>1</v>
      </c>
      <c r="M140" t="s">
        <v>215</v>
      </c>
      <c r="P140" t="s">
        <v>198</v>
      </c>
      <c r="Q140" t="s">
        <v>212</v>
      </c>
      <c r="S140" t="s">
        <v>222</v>
      </c>
      <c r="T140" t="s">
        <v>224</v>
      </c>
      <c r="Y140" t="s">
        <v>227</v>
      </c>
    </row>
    <row r="141" spans="1:25" x14ac:dyDescent="0.55000000000000004">
      <c r="A141" t="s">
        <v>115</v>
      </c>
      <c r="B141" t="s">
        <v>174</v>
      </c>
      <c r="C141" t="s">
        <v>48</v>
      </c>
      <c r="D141">
        <f t="shared" si="5"/>
        <v>31800</v>
      </c>
      <c r="E141">
        <v>26808</v>
      </c>
      <c r="F141">
        <v>4992</v>
      </c>
      <c r="G141" t="s">
        <v>153</v>
      </c>
      <c r="H141">
        <f>ABS(テーブル1[[#This Row],[after_change]]-テーブル1[[#This Row],[before_change]])</f>
        <v>53.122055406809977</v>
      </c>
      <c r="I141">
        <v>1625.62474772924</v>
      </c>
      <c r="J141">
        <v>1678.7468031360499</v>
      </c>
      <c r="K141" t="s">
        <v>170</v>
      </c>
      <c r="L141">
        <v>1</v>
      </c>
      <c r="M141" t="s">
        <v>214</v>
      </c>
      <c r="P141" t="s">
        <v>192</v>
      </c>
      <c r="Q141" t="s">
        <v>212</v>
      </c>
      <c r="Y141">
        <v>1</v>
      </c>
    </row>
    <row r="142" spans="1:25" x14ac:dyDescent="0.55000000000000004">
      <c r="A142" t="s">
        <v>105</v>
      </c>
      <c r="B142" t="s">
        <v>174</v>
      </c>
      <c r="C142" t="s">
        <v>1</v>
      </c>
      <c r="D142">
        <f t="shared" si="5"/>
        <v>3</v>
      </c>
      <c r="E142">
        <v>2</v>
      </c>
      <c r="F142">
        <v>1</v>
      </c>
      <c r="G142" t="s">
        <v>153</v>
      </c>
      <c r="H142">
        <f>ABS(テーブル1[[#This Row],[after_change]]-テーブル1[[#This Row],[before_change]])</f>
        <v>100.64757275352798</v>
      </c>
      <c r="I142">
        <v>503.10734441071298</v>
      </c>
      <c r="J142">
        <v>603.75491716424096</v>
      </c>
      <c r="K142" t="s">
        <v>167</v>
      </c>
      <c r="L142">
        <v>1</v>
      </c>
      <c r="M142" t="s">
        <v>215</v>
      </c>
      <c r="P142" t="s">
        <v>198</v>
      </c>
      <c r="Q142" t="s">
        <v>212</v>
      </c>
      <c r="Y142">
        <v>1</v>
      </c>
    </row>
    <row r="143" spans="1:25" x14ac:dyDescent="0.55000000000000004">
      <c r="A143" t="s">
        <v>98</v>
      </c>
      <c r="B143" t="s">
        <v>174</v>
      </c>
      <c r="C143" t="s">
        <v>18</v>
      </c>
      <c r="D143">
        <f t="shared" si="5"/>
        <v>323</v>
      </c>
      <c r="E143">
        <v>26</v>
      </c>
      <c r="F143">
        <v>297</v>
      </c>
      <c r="G143" t="s">
        <v>171</v>
      </c>
      <c r="H143">
        <f>ABS(テーブル1[[#This Row],[after_change]]-テーブル1[[#This Row],[before_change]])</f>
        <v>351.710550183294</v>
      </c>
      <c r="I143">
        <v>1021.0161604989401</v>
      </c>
      <c r="J143">
        <v>669.30561031564605</v>
      </c>
      <c r="K143" t="s">
        <v>161</v>
      </c>
      <c r="L143">
        <v>1</v>
      </c>
      <c r="M143" t="s">
        <v>190</v>
      </c>
      <c r="N143" t="s">
        <v>213</v>
      </c>
      <c r="P143" t="s">
        <v>129</v>
      </c>
      <c r="Q143" t="s">
        <v>190</v>
      </c>
      <c r="R143" t="s">
        <v>202</v>
      </c>
      <c r="Y143">
        <v>0</v>
      </c>
    </row>
    <row r="144" spans="1:25" x14ac:dyDescent="0.55000000000000004">
      <c r="A144" t="s">
        <v>98</v>
      </c>
      <c r="B144" t="s">
        <v>174</v>
      </c>
      <c r="C144" t="s">
        <v>26</v>
      </c>
      <c r="D144">
        <f t="shared" si="5"/>
        <v>465</v>
      </c>
      <c r="E144">
        <v>447</v>
      </c>
      <c r="F144">
        <v>18</v>
      </c>
      <c r="G144" t="s">
        <v>153</v>
      </c>
      <c r="H144">
        <f>ABS(テーブル1[[#This Row],[after_change]]-テーブル1[[#This Row],[before_change]])</f>
        <v>64.404141561755978</v>
      </c>
      <c r="I144">
        <v>669.30561031564605</v>
      </c>
      <c r="J144">
        <v>733.70975187740203</v>
      </c>
      <c r="K144" t="s">
        <v>161</v>
      </c>
      <c r="L144">
        <v>1</v>
      </c>
      <c r="M144" t="s">
        <v>214</v>
      </c>
      <c r="P144" t="s">
        <v>194</v>
      </c>
      <c r="Q144" t="s">
        <v>212</v>
      </c>
      <c r="Y144">
        <v>1</v>
      </c>
    </row>
    <row r="145" spans="1:25" x14ac:dyDescent="0.55000000000000004">
      <c r="A145" t="s">
        <v>98</v>
      </c>
      <c r="B145" t="s">
        <v>157</v>
      </c>
      <c r="C145" t="s">
        <v>88</v>
      </c>
      <c r="D145">
        <f t="shared" si="5"/>
        <v>137</v>
      </c>
      <c r="E145">
        <v>116</v>
      </c>
      <c r="F145">
        <v>21</v>
      </c>
      <c r="G145" t="s">
        <v>153</v>
      </c>
      <c r="H145">
        <f>ABS(テーブル1[[#This Row],[after_change]]-テーブル1[[#This Row],[before_change]])</f>
        <v>54</v>
      </c>
      <c r="I145">
        <v>645</v>
      </c>
      <c r="J145">
        <v>699</v>
      </c>
      <c r="K145" t="s">
        <v>161</v>
      </c>
      <c r="L145">
        <v>1</v>
      </c>
      <c r="M145" t="s">
        <v>214</v>
      </c>
      <c r="P145" t="s">
        <v>196</v>
      </c>
      <c r="Q145" t="s">
        <v>212</v>
      </c>
      <c r="Y145" t="s">
        <v>227</v>
      </c>
    </row>
    <row r="146" spans="1:25" x14ac:dyDescent="0.55000000000000004">
      <c r="A146" t="s">
        <v>98</v>
      </c>
      <c r="B146" t="s">
        <v>157</v>
      </c>
      <c r="C146" t="s">
        <v>89</v>
      </c>
      <c r="D146">
        <f t="shared" si="5"/>
        <v>156</v>
      </c>
      <c r="E146">
        <v>97</v>
      </c>
      <c r="F146">
        <v>59</v>
      </c>
      <c r="G146" t="s">
        <v>153</v>
      </c>
      <c r="H146">
        <f>ABS(テーブル1[[#This Row],[after_change]]-テーブル1[[#This Row],[before_change]])</f>
        <v>200</v>
      </c>
      <c r="I146">
        <v>699</v>
      </c>
      <c r="J146">
        <v>899</v>
      </c>
      <c r="K146" t="s">
        <v>161</v>
      </c>
      <c r="L146">
        <v>1</v>
      </c>
      <c r="M146" t="s">
        <v>214</v>
      </c>
      <c r="P146" t="s">
        <v>195</v>
      </c>
      <c r="Q146" t="s">
        <v>212</v>
      </c>
      <c r="Y146" t="s">
        <v>227</v>
      </c>
    </row>
    <row r="147" spans="1:25" x14ac:dyDescent="0.55000000000000004">
      <c r="A147" t="s">
        <v>90</v>
      </c>
      <c r="B147" t="s">
        <v>174</v>
      </c>
      <c r="C147" t="s">
        <v>18</v>
      </c>
      <c r="D147">
        <f t="shared" si="5"/>
        <v>323</v>
      </c>
      <c r="E147">
        <v>26</v>
      </c>
      <c r="F147">
        <v>297</v>
      </c>
      <c r="G147" t="s">
        <v>171</v>
      </c>
      <c r="H147">
        <f>ABS(テーブル1[[#This Row],[after_change]]-テーブル1[[#This Row],[before_change]])</f>
        <v>351.710550183294</v>
      </c>
      <c r="I147">
        <v>1021.0161604989401</v>
      </c>
      <c r="J147">
        <v>669.30561031564605</v>
      </c>
      <c r="K147" t="s">
        <v>161</v>
      </c>
      <c r="L147">
        <v>1</v>
      </c>
      <c r="M147" t="s">
        <v>190</v>
      </c>
      <c r="N147" t="s">
        <v>213</v>
      </c>
      <c r="P147" t="s">
        <v>129</v>
      </c>
      <c r="Q147" t="s">
        <v>190</v>
      </c>
      <c r="R147" t="s">
        <v>202</v>
      </c>
      <c r="Y147">
        <v>0</v>
      </c>
    </row>
    <row r="148" spans="1:25" x14ac:dyDescent="0.55000000000000004">
      <c r="A148" t="s">
        <v>90</v>
      </c>
      <c r="B148" t="s">
        <v>174</v>
      </c>
      <c r="C148" t="s">
        <v>26</v>
      </c>
      <c r="D148">
        <f t="shared" si="5"/>
        <v>465</v>
      </c>
      <c r="E148">
        <v>447</v>
      </c>
      <c r="F148">
        <v>18</v>
      </c>
      <c r="G148" t="s">
        <v>153</v>
      </c>
      <c r="H148">
        <f>ABS(テーブル1[[#This Row],[after_change]]-テーブル1[[#This Row],[before_change]])</f>
        <v>64.404141561755978</v>
      </c>
      <c r="I148">
        <v>669.30561031564605</v>
      </c>
      <c r="J148">
        <v>733.70975187740203</v>
      </c>
      <c r="K148" t="s">
        <v>161</v>
      </c>
      <c r="L148">
        <v>1</v>
      </c>
      <c r="M148" t="s">
        <v>214</v>
      </c>
      <c r="P148" t="s">
        <v>194</v>
      </c>
      <c r="Q148" t="s">
        <v>212</v>
      </c>
      <c r="Y148">
        <v>1</v>
      </c>
    </row>
    <row r="149" spans="1:25" x14ac:dyDescent="0.55000000000000004">
      <c r="A149" t="s">
        <v>90</v>
      </c>
      <c r="B149" t="s">
        <v>157</v>
      </c>
      <c r="C149" t="s">
        <v>88</v>
      </c>
      <c r="D149">
        <f t="shared" si="5"/>
        <v>137</v>
      </c>
      <c r="E149">
        <v>116</v>
      </c>
      <c r="F149">
        <v>21</v>
      </c>
      <c r="G149" t="s">
        <v>153</v>
      </c>
      <c r="H149">
        <f>ABS(テーブル1[[#This Row],[after_change]]-テーブル1[[#This Row],[before_change]])</f>
        <v>54</v>
      </c>
      <c r="I149">
        <v>645</v>
      </c>
      <c r="J149">
        <v>699</v>
      </c>
      <c r="K149" t="s">
        <v>161</v>
      </c>
      <c r="L149">
        <v>1</v>
      </c>
      <c r="M149" t="s">
        <v>214</v>
      </c>
      <c r="P149" t="s">
        <v>196</v>
      </c>
      <c r="Q149" t="s">
        <v>212</v>
      </c>
      <c r="Y149" t="s">
        <v>227</v>
      </c>
    </row>
    <row r="150" spans="1:25" x14ac:dyDescent="0.55000000000000004">
      <c r="A150" t="s">
        <v>90</v>
      </c>
      <c r="B150" t="s">
        <v>157</v>
      </c>
      <c r="C150" t="s">
        <v>89</v>
      </c>
      <c r="D150">
        <f t="shared" si="5"/>
        <v>156</v>
      </c>
      <c r="E150">
        <v>97</v>
      </c>
      <c r="F150">
        <v>59</v>
      </c>
      <c r="G150" t="s">
        <v>153</v>
      </c>
      <c r="H150">
        <f>ABS(テーブル1[[#This Row],[after_change]]-テーブル1[[#This Row],[before_change]])</f>
        <v>200</v>
      </c>
      <c r="I150">
        <v>699</v>
      </c>
      <c r="J150">
        <v>899</v>
      </c>
      <c r="K150" t="s">
        <v>161</v>
      </c>
      <c r="L150">
        <v>1</v>
      </c>
      <c r="M150" t="s">
        <v>214</v>
      </c>
      <c r="P150" t="s">
        <v>195</v>
      </c>
      <c r="Q150" t="s">
        <v>212</v>
      </c>
      <c r="Y150" t="s">
        <v>227</v>
      </c>
    </row>
    <row r="151" spans="1:25" x14ac:dyDescent="0.55000000000000004">
      <c r="A151" t="s">
        <v>40</v>
      </c>
      <c r="B151" t="s">
        <v>174</v>
      </c>
      <c r="C151" t="s">
        <v>43</v>
      </c>
      <c r="D151">
        <f t="shared" si="5"/>
        <v>71</v>
      </c>
      <c r="E151">
        <v>35</v>
      </c>
      <c r="F151">
        <v>36</v>
      </c>
      <c r="G151" t="s">
        <v>153</v>
      </c>
      <c r="H151">
        <f>ABS(テーブル1[[#This Row],[after_change]]-テーブル1[[#This Row],[before_change]])</f>
        <v>0.80336468168002284</v>
      </c>
      <c r="I151">
        <v>1012.21440416544</v>
      </c>
      <c r="J151">
        <v>1013.01776884712</v>
      </c>
      <c r="K151" t="s">
        <v>172</v>
      </c>
      <c r="L151">
        <v>1</v>
      </c>
      <c r="M151" t="s">
        <v>215</v>
      </c>
      <c r="P151" t="s">
        <v>126</v>
      </c>
      <c r="Q151" t="s">
        <v>199</v>
      </c>
      <c r="R151" t="s">
        <v>210</v>
      </c>
      <c r="Y151">
        <v>0</v>
      </c>
    </row>
    <row r="152" spans="1:25" x14ac:dyDescent="0.55000000000000004">
      <c r="A152" t="s">
        <v>40</v>
      </c>
      <c r="B152" t="s">
        <v>174</v>
      </c>
      <c r="C152" t="s">
        <v>2</v>
      </c>
      <c r="D152">
        <f t="shared" si="5"/>
        <v>2</v>
      </c>
      <c r="E152">
        <v>1</v>
      </c>
      <c r="F152">
        <v>1</v>
      </c>
      <c r="G152" t="s">
        <v>153</v>
      </c>
      <c r="H152">
        <f>ABS(テーブル1[[#This Row],[after_change]]-テーブル1[[#This Row],[before_change]])</f>
        <v>0.59556966022000779</v>
      </c>
      <c r="I152">
        <v>1013.01776884712</v>
      </c>
      <c r="J152">
        <v>1013.61333850734</v>
      </c>
      <c r="K152" t="s">
        <v>172</v>
      </c>
      <c r="L152">
        <v>0</v>
      </c>
      <c r="Y152" t="s">
        <v>227</v>
      </c>
    </row>
    <row r="153" spans="1:25" x14ac:dyDescent="0.55000000000000004">
      <c r="A153" t="s">
        <v>91</v>
      </c>
      <c r="B153" t="s">
        <v>157</v>
      </c>
      <c r="C153" t="s">
        <v>92</v>
      </c>
      <c r="D153">
        <f t="shared" si="5"/>
        <v>2</v>
      </c>
      <c r="E153">
        <v>1</v>
      </c>
      <c r="F153">
        <v>1</v>
      </c>
      <c r="G153" t="s">
        <v>171</v>
      </c>
      <c r="H153">
        <f>ABS(テーブル1[[#This Row],[after_change]]-テーブル1[[#This Row],[before_change]])</f>
        <v>1</v>
      </c>
      <c r="I153">
        <v>369</v>
      </c>
      <c r="J153">
        <v>368</v>
      </c>
      <c r="K153" t="s">
        <v>172</v>
      </c>
      <c r="L153">
        <v>0</v>
      </c>
      <c r="Y153" t="s">
        <v>227</v>
      </c>
    </row>
    <row r="154" spans="1:25" x14ac:dyDescent="0.55000000000000004">
      <c r="A154" t="s">
        <v>106</v>
      </c>
      <c r="B154" t="s">
        <v>174</v>
      </c>
      <c r="C154" t="s">
        <v>17</v>
      </c>
      <c r="D154">
        <f t="shared" si="5"/>
        <v>3</v>
      </c>
      <c r="E154">
        <v>2</v>
      </c>
      <c r="F154">
        <v>1</v>
      </c>
      <c r="G154" t="s">
        <v>153</v>
      </c>
      <c r="H154">
        <f>ABS(テーブル1[[#This Row],[after_change]]-テーブル1[[#This Row],[before_change]])</f>
        <v>27.112377476776999</v>
      </c>
      <c r="I154">
        <v>479.20767940424298</v>
      </c>
      <c r="J154">
        <v>506.32005688101998</v>
      </c>
      <c r="K154" t="s">
        <v>187</v>
      </c>
      <c r="L154">
        <v>1</v>
      </c>
      <c r="M154" t="s">
        <v>214</v>
      </c>
      <c r="P154" t="s">
        <v>131</v>
      </c>
      <c r="Q154" t="s">
        <v>200</v>
      </c>
      <c r="R154" t="s">
        <v>211</v>
      </c>
      <c r="Y154">
        <v>1</v>
      </c>
    </row>
    <row r="155" spans="1:25" x14ac:dyDescent="0.55000000000000004">
      <c r="A155" t="s">
        <v>122</v>
      </c>
      <c r="B155" t="s">
        <v>174</v>
      </c>
      <c r="C155" t="s">
        <v>72</v>
      </c>
      <c r="D155">
        <f t="shared" si="5"/>
        <v>39024</v>
      </c>
      <c r="E155">
        <v>30485</v>
      </c>
      <c r="F155">
        <v>8539</v>
      </c>
      <c r="G155" t="s">
        <v>153</v>
      </c>
      <c r="H155">
        <f>ABS(テーブル1[[#This Row],[after_change]]-テーブル1[[#This Row],[before_change]])</f>
        <v>226.74526374136985</v>
      </c>
      <c r="I155">
        <v>1923.67274463696</v>
      </c>
      <c r="J155">
        <v>2150.4180083783299</v>
      </c>
      <c r="K155" t="s">
        <v>167</v>
      </c>
      <c r="L155">
        <v>1</v>
      </c>
      <c r="M155" t="s">
        <v>215</v>
      </c>
      <c r="P155" t="s">
        <v>198</v>
      </c>
      <c r="Q155" t="s">
        <v>212</v>
      </c>
      <c r="Y155">
        <v>1</v>
      </c>
    </row>
    <row r="156" spans="1:25" x14ac:dyDescent="0.55000000000000004">
      <c r="A156" t="s">
        <v>70</v>
      </c>
      <c r="B156" t="s">
        <v>174</v>
      </c>
      <c r="C156" t="s">
        <v>72</v>
      </c>
      <c r="D156">
        <f t="shared" si="5"/>
        <v>39024</v>
      </c>
      <c r="E156">
        <v>30485</v>
      </c>
      <c r="F156">
        <v>8539</v>
      </c>
      <c r="G156" t="s">
        <v>153</v>
      </c>
      <c r="H156">
        <f>ABS(テーブル1[[#This Row],[after_change]]-テーブル1[[#This Row],[before_change]])</f>
        <v>226.74526374136985</v>
      </c>
      <c r="I156">
        <v>1923.67274463696</v>
      </c>
      <c r="J156">
        <v>2150.4180083783299</v>
      </c>
      <c r="K156" t="s">
        <v>170</v>
      </c>
      <c r="L156">
        <v>1</v>
      </c>
      <c r="M156" t="s">
        <v>214</v>
      </c>
      <c r="P156" t="s">
        <v>192</v>
      </c>
      <c r="Q156" t="s">
        <v>212</v>
      </c>
      <c r="Y156">
        <v>1</v>
      </c>
    </row>
    <row r="157" spans="1:25" x14ac:dyDescent="0.55000000000000004">
      <c r="A157" t="s">
        <v>71</v>
      </c>
      <c r="B157" t="s">
        <v>174</v>
      </c>
      <c r="C157" t="s">
        <v>72</v>
      </c>
      <c r="D157">
        <f t="shared" si="5"/>
        <v>39024</v>
      </c>
      <c r="E157">
        <v>30485</v>
      </c>
      <c r="F157">
        <v>8539</v>
      </c>
      <c r="G157" t="s">
        <v>153</v>
      </c>
      <c r="H157">
        <f>ABS(テーブル1[[#This Row],[after_change]]-テーブル1[[#This Row],[before_change]])</f>
        <v>226.74526374136985</v>
      </c>
      <c r="I157">
        <v>1923.67274463696</v>
      </c>
      <c r="J157">
        <v>2150.4180083783299</v>
      </c>
      <c r="K157" t="s">
        <v>167</v>
      </c>
      <c r="L157">
        <v>1</v>
      </c>
      <c r="M157" t="s">
        <v>215</v>
      </c>
      <c r="P157" t="s">
        <v>198</v>
      </c>
      <c r="Q157" t="s">
        <v>212</v>
      </c>
      <c r="Y157">
        <v>1</v>
      </c>
    </row>
    <row r="158" spans="1:25" x14ac:dyDescent="0.55000000000000004">
      <c r="A158" t="s">
        <v>71</v>
      </c>
      <c r="B158" t="s">
        <v>174</v>
      </c>
      <c r="C158" t="s">
        <v>72</v>
      </c>
      <c r="D158">
        <f t="shared" si="5"/>
        <v>39024</v>
      </c>
      <c r="E158">
        <v>30485</v>
      </c>
      <c r="F158">
        <v>8539</v>
      </c>
      <c r="G158" t="s">
        <v>153</v>
      </c>
      <c r="H158">
        <f>ABS(テーブル1[[#This Row],[after_change]]-テーブル1[[#This Row],[before_change]])</f>
        <v>226.74526374136985</v>
      </c>
      <c r="I158">
        <v>1923.67274463696</v>
      </c>
      <c r="J158">
        <v>2150.4180083783299</v>
      </c>
      <c r="K158" t="s">
        <v>170</v>
      </c>
      <c r="L158">
        <v>1</v>
      </c>
      <c r="M158" t="s">
        <v>214</v>
      </c>
      <c r="P158" t="s">
        <v>192</v>
      </c>
      <c r="Q158" t="s">
        <v>212</v>
      </c>
      <c r="Y158">
        <v>1</v>
      </c>
    </row>
    <row r="159" spans="1:25" x14ac:dyDescent="0.55000000000000004">
      <c r="A159" t="s">
        <v>112</v>
      </c>
      <c r="B159" t="s">
        <v>157</v>
      </c>
      <c r="C159" t="s">
        <v>93</v>
      </c>
      <c r="D159">
        <f t="shared" si="5"/>
        <v>465</v>
      </c>
      <c r="E159">
        <v>447</v>
      </c>
      <c r="F159">
        <v>18</v>
      </c>
      <c r="G159" t="s">
        <v>153</v>
      </c>
      <c r="H159">
        <f>ABS(テーブル1[[#This Row],[after_change]]-テーブル1[[#This Row],[before_change]])</f>
        <v>180</v>
      </c>
      <c r="I159">
        <v>1919</v>
      </c>
      <c r="J159">
        <v>2099</v>
      </c>
      <c r="K159" t="s">
        <v>168</v>
      </c>
      <c r="L159">
        <v>1</v>
      </c>
      <c r="M159" t="s">
        <v>214</v>
      </c>
      <c r="P159" t="s">
        <v>194</v>
      </c>
      <c r="Q159" t="s">
        <v>212</v>
      </c>
      <c r="Y159" t="s">
        <v>227</v>
      </c>
    </row>
    <row r="160" spans="1:25" x14ac:dyDescent="0.55000000000000004">
      <c r="A160" t="s">
        <v>108</v>
      </c>
      <c r="B160" t="s">
        <v>174</v>
      </c>
      <c r="C160" t="s">
        <v>37</v>
      </c>
      <c r="D160">
        <f t="shared" si="5"/>
        <v>72</v>
      </c>
      <c r="E160">
        <v>51</v>
      </c>
      <c r="F160">
        <v>21</v>
      </c>
      <c r="G160" t="s">
        <v>171</v>
      </c>
      <c r="H160">
        <f>ABS(テーブル1[[#This Row],[after_change]]-テーブル1[[#This Row],[before_change]])</f>
        <v>119.8421926673509</v>
      </c>
      <c r="I160">
        <v>1030.1970685262099</v>
      </c>
      <c r="J160">
        <v>910.35487585885903</v>
      </c>
      <c r="K160" t="s">
        <v>169</v>
      </c>
      <c r="L160">
        <v>1</v>
      </c>
      <c r="M160" t="s">
        <v>190</v>
      </c>
      <c r="P160" t="s">
        <v>192</v>
      </c>
      <c r="Q160" t="s">
        <v>212</v>
      </c>
      <c r="Y160">
        <v>1</v>
      </c>
    </row>
    <row r="161" spans="1:25" x14ac:dyDescent="0.55000000000000004">
      <c r="A161" t="s">
        <v>109</v>
      </c>
      <c r="B161" t="s">
        <v>174</v>
      </c>
      <c r="C161" t="s">
        <v>37</v>
      </c>
      <c r="D161">
        <f t="shared" si="5"/>
        <v>72</v>
      </c>
      <c r="E161">
        <v>51</v>
      </c>
      <c r="F161">
        <v>21</v>
      </c>
      <c r="G161" t="s">
        <v>171</v>
      </c>
      <c r="H161">
        <f>ABS(テーブル1[[#This Row],[after_change]]-テーブル1[[#This Row],[before_change]])</f>
        <v>83.370990826101092</v>
      </c>
      <c r="I161">
        <v>1030.8544999174201</v>
      </c>
      <c r="J161">
        <v>947.48350909131898</v>
      </c>
      <c r="K161" t="s">
        <v>169</v>
      </c>
      <c r="L161">
        <v>1</v>
      </c>
      <c r="M161" t="s">
        <v>190</v>
      </c>
      <c r="N161" t="s">
        <v>214</v>
      </c>
      <c r="P161" t="s">
        <v>192</v>
      </c>
      <c r="Q161" t="s">
        <v>212</v>
      </c>
      <c r="Y161">
        <v>1</v>
      </c>
    </row>
    <row r="162" spans="1:25" x14ac:dyDescent="0.55000000000000004">
      <c r="A162" t="s">
        <v>109</v>
      </c>
      <c r="B162" t="s">
        <v>157</v>
      </c>
      <c r="C162" t="s">
        <v>94</v>
      </c>
      <c r="D162">
        <f t="shared" si="5"/>
        <v>72</v>
      </c>
      <c r="E162">
        <v>51</v>
      </c>
      <c r="F162">
        <v>21</v>
      </c>
      <c r="G162" t="s">
        <v>153</v>
      </c>
      <c r="H162">
        <f>ABS(テーブル1[[#This Row],[after_change]]-テーブル1[[#This Row],[before_change]])</f>
        <v>20</v>
      </c>
      <c r="I162">
        <v>528</v>
      </c>
      <c r="J162">
        <v>548</v>
      </c>
      <c r="K162" t="s">
        <v>169</v>
      </c>
      <c r="L162">
        <v>1</v>
      </c>
      <c r="M162" t="s">
        <v>190</v>
      </c>
      <c r="N162" t="s">
        <v>191</v>
      </c>
      <c r="P162" t="s">
        <v>192</v>
      </c>
      <c r="Q162" t="s">
        <v>212</v>
      </c>
      <c r="S162" t="s">
        <v>132</v>
      </c>
      <c r="T162" t="s">
        <v>209</v>
      </c>
      <c r="U162" t="s">
        <v>201</v>
      </c>
      <c r="Y162" t="s">
        <v>227</v>
      </c>
    </row>
    <row r="163" spans="1:25" x14ac:dyDescent="0.55000000000000004">
      <c r="A163" t="s">
        <v>42</v>
      </c>
      <c r="B163" t="s">
        <v>174</v>
      </c>
      <c r="C163" t="s">
        <v>18</v>
      </c>
      <c r="D163">
        <f t="shared" ref="D163:D171" si="6">E163+F163</f>
        <v>323</v>
      </c>
      <c r="E163">
        <v>26</v>
      </c>
      <c r="F163">
        <v>297</v>
      </c>
      <c r="G163" t="s">
        <v>171</v>
      </c>
      <c r="H163">
        <f>ABS(テーブル1[[#This Row],[after_change]]-テーブル1[[#This Row],[before_change]])</f>
        <v>501.32471148904006</v>
      </c>
      <c r="I163">
        <v>2139.81153230479</v>
      </c>
      <c r="J163">
        <v>1638.48682081575</v>
      </c>
      <c r="K163" t="s">
        <v>162</v>
      </c>
      <c r="L163">
        <v>1</v>
      </c>
      <c r="M163" t="s">
        <v>190</v>
      </c>
      <c r="N163" t="s">
        <v>213</v>
      </c>
      <c r="P163" t="s">
        <v>129</v>
      </c>
      <c r="Q163" t="s">
        <v>190</v>
      </c>
      <c r="R163" t="s">
        <v>202</v>
      </c>
      <c r="Y163">
        <v>0</v>
      </c>
    </row>
    <row r="164" spans="1:25" x14ac:dyDescent="0.55000000000000004">
      <c r="A164" t="s">
        <v>42</v>
      </c>
      <c r="B164" t="s">
        <v>174</v>
      </c>
      <c r="C164" t="s">
        <v>31</v>
      </c>
      <c r="D164">
        <f t="shared" si="6"/>
        <v>2</v>
      </c>
      <c r="E164">
        <v>1</v>
      </c>
      <c r="F164">
        <v>1</v>
      </c>
      <c r="G164" t="s">
        <v>153</v>
      </c>
      <c r="H164">
        <f>ABS(テーブル1[[#This Row],[after_change]]-テーブル1[[#This Row],[before_change]])</f>
        <v>1.8173043668900846</v>
      </c>
      <c r="I164">
        <v>1638.48682081575</v>
      </c>
      <c r="J164">
        <v>1640.3041251826401</v>
      </c>
      <c r="K164" t="s">
        <v>162</v>
      </c>
      <c r="L164">
        <v>0</v>
      </c>
      <c r="Y164" t="s">
        <v>227</v>
      </c>
    </row>
    <row r="165" spans="1:25" x14ac:dyDescent="0.55000000000000004">
      <c r="A165" t="s">
        <v>42</v>
      </c>
      <c r="B165" t="s">
        <v>174</v>
      </c>
      <c r="C165" s="2" t="s">
        <v>27</v>
      </c>
      <c r="D165">
        <f t="shared" si="6"/>
        <v>465</v>
      </c>
      <c r="E165">
        <v>447</v>
      </c>
      <c r="F165">
        <v>18</v>
      </c>
      <c r="G165" t="s">
        <v>153</v>
      </c>
      <c r="H165">
        <f>ABS(テーブル1[[#This Row],[after_change]]-テーブル1[[#This Row],[before_change]])</f>
        <v>58.903513484719952</v>
      </c>
      <c r="I165">
        <v>1640.3041251826401</v>
      </c>
      <c r="J165">
        <v>1699.20763866736</v>
      </c>
      <c r="K165" t="s">
        <v>170</v>
      </c>
      <c r="L165">
        <v>1</v>
      </c>
      <c r="M165" t="s">
        <v>214</v>
      </c>
      <c r="P165" t="s">
        <v>194</v>
      </c>
      <c r="Q165" t="s">
        <v>212</v>
      </c>
      <c r="Y165">
        <v>1</v>
      </c>
    </row>
    <row r="166" spans="1:25" x14ac:dyDescent="0.55000000000000004">
      <c r="A166" t="s">
        <v>42</v>
      </c>
      <c r="B166" t="s">
        <v>157</v>
      </c>
      <c r="C166" t="s">
        <v>88</v>
      </c>
      <c r="D166">
        <f t="shared" si="6"/>
        <v>137</v>
      </c>
      <c r="E166">
        <v>116</v>
      </c>
      <c r="F166">
        <v>21</v>
      </c>
      <c r="G166" t="s">
        <v>153</v>
      </c>
      <c r="H166">
        <f>ABS(テーブル1[[#This Row],[after_change]]-テーブル1[[#This Row],[before_change]])</f>
        <v>54</v>
      </c>
      <c r="I166">
        <v>537</v>
      </c>
      <c r="J166">
        <v>591</v>
      </c>
      <c r="K166" t="s">
        <v>162</v>
      </c>
      <c r="L166">
        <v>1</v>
      </c>
      <c r="M166" t="s">
        <v>214</v>
      </c>
      <c r="P166" t="s">
        <v>196</v>
      </c>
      <c r="Q166" t="s">
        <v>212</v>
      </c>
      <c r="Y166" t="s">
        <v>227</v>
      </c>
    </row>
    <row r="167" spans="1:25" x14ac:dyDescent="0.55000000000000004">
      <c r="A167" t="s">
        <v>42</v>
      </c>
      <c r="B167" t="s">
        <v>157</v>
      </c>
      <c r="C167" t="s">
        <v>89</v>
      </c>
      <c r="D167">
        <f t="shared" si="6"/>
        <v>156</v>
      </c>
      <c r="E167">
        <v>97</v>
      </c>
      <c r="F167">
        <v>59</v>
      </c>
      <c r="G167" t="s">
        <v>153</v>
      </c>
      <c r="H167">
        <f>ABS(テーブル1[[#This Row],[after_change]]-テーブル1[[#This Row],[before_change]])</f>
        <v>200</v>
      </c>
      <c r="I167">
        <v>591</v>
      </c>
      <c r="J167">
        <v>791</v>
      </c>
      <c r="K167" t="s">
        <v>162</v>
      </c>
      <c r="L167">
        <v>1</v>
      </c>
      <c r="M167" t="s">
        <v>214</v>
      </c>
      <c r="P167" t="s">
        <v>195</v>
      </c>
      <c r="Q167" t="s">
        <v>212</v>
      </c>
      <c r="Y167" t="s">
        <v>227</v>
      </c>
    </row>
    <row r="168" spans="1:25" x14ac:dyDescent="0.55000000000000004">
      <c r="A168" t="s">
        <v>42</v>
      </c>
      <c r="B168" t="s">
        <v>157</v>
      </c>
      <c r="C168" t="s">
        <v>18</v>
      </c>
      <c r="D168">
        <f t="shared" si="6"/>
        <v>323</v>
      </c>
      <c r="E168">
        <v>26</v>
      </c>
      <c r="F168">
        <v>297</v>
      </c>
      <c r="G168" t="s">
        <v>171</v>
      </c>
      <c r="H168">
        <f>ABS(テーブル1[[#This Row],[after_change]]-テーブル1[[#This Row],[before_change]])</f>
        <v>38</v>
      </c>
      <c r="I168">
        <v>791</v>
      </c>
      <c r="J168">
        <v>753</v>
      </c>
      <c r="K168" t="s">
        <v>162</v>
      </c>
      <c r="L168">
        <v>1</v>
      </c>
      <c r="M168" t="s">
        <v>190</v>
      </c>
      <c r="N168" t="s">
        <v>213</v>
      </c>
      <c r="P168" t="s">
        <v>129</v>
      </c>
      <c r="Q168" t="s">
        <v>190</v>
      </c>
      <c r="R168" t="s">
        <v>202</v>
      </c>
      <c r="Y168" t="s">
        <v>227</v>
      </c>
    </row>
    <row r="169" spans="1:25" x14ac:dyDescent="0.55000000000000004">
      <c r="A169" t="s">
        <v>41</v>
      </c>
      <c r="B169" t="s">
        <v>157</v>
      </c>
      <c r="C169" t="s">
        <v>31</v>
      </c>
      <c r="D169">
        <f t="shared" si="6"/>
        <v>2</v>
      </c>
      <c r="E169">
        <v>1</v>
      </c>
      <c r="F169">
        <v>1</v>
      </c>
      <c r="G169" t="s">
        <v>171</v>
      </c>
      <c r="H169">
        <f>ABS(テーブル1[[#This Row],[after_change]]-テーブル1[[#This Row],[before_change]])</f>
        <v>1</v>
      </c>
      <c r="I169">
        <v>753</v>
      </c>
      <c r="J169">
        <v>752</v>
      </c>
      <c r="K169" t="s">
        <v>162</v>
      </c>
      <c r="L169">
        <v>0</v>
      </c>
      <c r="Y169" t="s">
        <v>227</v>
      </c>
    </row>
    <row r="170" spans="1:25" x14ac:dyDescent="0.55000000000000004">
      <c r="A170" t="s">
        <v>42</v>
      </c>
      <c r="B170" t="s">
        <v>157</v>
      </c>
      <c r="C170" t="s">
        <v>26</v>
      </c>
      <c r="D170">
        <f t="shared" si="6"/>
        <v>465</v>
      </c>
      <c r="E170">
        <v>447</v>
      </c>
      <c r="F170">
        <v>18</v>
      </c>
      <c r="G170" t="s">
        <v>153</v>
      </c>
      <c r="H170">
        <f>ABS(テーブル1[[#This Row],[after_change]]-テーブル1[[#This Row],[before_change]])</f>
        <v>90</v>
      </c>
      <c r="I170">
        <v>752</v>
      </c>
      <c r="J170">
        <v>842</v>
      </c>
      <c r="K170" t="s">
        <v>170</v>
      </c>
      <c r="L170">
        <v>1</v>
      </c>
      <c r="M170" t="s">
        <v>214</v>
      </c>
      <c r="P170" t="s">
        <v>194</v>
      </c>
      <c r="Q170" t="s">
        <v>212</v>
      </c>
      <c r="Y170" t="s">
        <v>227</v>
      </c>
    </row>
    <row r="171" spans="1:25" x14ac:dyDescent="0.55000000000000004">
      <c r="A171" t="s">
        <v>49</v>
      </c>
      <c r="B171" t="s">
        <v>174</v>
      </c>
      <c r="C171" t="s">
        <v>47</v>
      </c>
      <c r="D171">
        <f t="shared" si="6"/>
        <v>31800</v>
      </c>
      <c r="E171">
        <v>26808</v>
      </c>
      <c r="F171">
        <v>4992</v>
      </c>
      <c r="G171" t="s">
        <v>153</v>
      </c>
      <c r="H171">
        <f>ABS(テーブル1[[#This Row],[after_change]]-テーブル1[[#This Row],[before_change]])</f>
        <v>226.74526374135985</v>
      </c>
      <c r="I171">
        <v>2956.07770394315</v>
      </c>
      <c r="J171">
        <v>3182.8229676845099</v>
      </c>
      <c r="K171" t="s">
        <v>167</v>
      </c>
      <c r="L171">
        <v>1</v>
      </c>
      <c r="M171" t="s">
        <v>215</v>
      </c>
      <c r="P171" t="s">
        <v>198</v>
      </c>
      <c r="Q171" t="s">
        <v>212</v>
      </c>
      <c r="Y171">
        <v>1</v>
      </c>
    </row>
    <row r="172" spans="1:25" x14ac:dyDescent="0.55000000000000004">
      <c r="A172" t="s">
        <v>116</v>
      </c>
      <c r="B172" t="s">
        <v>174</v>
      </c>
      <c r="C172" t="s">
        <v>47</v>
      </c>
      <c r="D172">
        <f>E172+F172</f>
        <v>31800</v>
      </c>
      <c r="E172">
        <v>26808</v>
      </c>
      <c r="F172">
        <v>4992</v>
      </c>
      <c r="G172" t="s">
        <v>153</v>
      </c>
      <c r="H172">
        <f>ABS(テーブル1[[#This Row],[after_change]]-テーブル1[[#This Row],[before_change]])</f>
        <v>226.74526374135985</v>
      </c>
      <c r="I172">
        <v>2956.07770394315</v>
      </c>
      <c r="J172">
        <v>3182.8229676845099</v>
      </c>
      <c r="K172" t="s">
        <v>170</v>
      </c>
      <c r="L172">
        <v>1</v>
      </c>
      <c r="M172" t="s">
        <v>214</v>
      </c>
      <c r="P172" t="s">
        <v>192</v>
      </c>
      <c r="Q172" t="s">
        <v>212</v>
      </c>
      <c r="Y172">
        <v>1</v>
      </c>
    </row>
  </sheetData>
  <phoneticPr fontId="1"/>
  <dataValidations count="2">
    <dataValidation type="decimal" operator="greaterThanOrEqual" allowBlank="1" showInputMessage="1" showErrorMessage="1" sqref="J2:J14 J35:J1048576" xr:uid="{3E25D0BD-7905-4B16-9F4F-719A1BAC5BA8}">
      <formula1>0</formula1>
    </dataValidation>
    <dataValidation type="list" allowBlank="1" showInputMessage="1" showErrorMessage="1" sqref="V173:V1048576" xr:uid="{7CB71164-8EDD-428C-AA0E-6BDEFE0E78A5}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雄希</dc:creator>
  <cp:lastModifiedBy>牧野　雄希</cp:lastModifiedBy>
  <dcterms:created xsi:type="dcterms:W3CDTF">2025-05-23T06:45:42Z</dcterms:created>
  <dcterms:modified xsi:type="dcterms:W3CDTF">2026-09-24T15:27:19Z</dcterms:modified>
</cp:coreProperties>
</file>