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inoyuuki\Desktop\SANER2026\Data\Uptime\"/>
    </mc:Choice>
  </mc:AlternateContent>
  <xr:revisionPtr revIDLastSave="0" documentId="13_ncr:1_{AACB4136-EDAB-453B-970F-B10D91E125B5}" xr6:coauthVersionLast="47" xr6:coauthVersionMax="47" xr10:uidLastSave="{00000000-0000-0000-0000-000000000000}"/>
  <bookViews>
    <workbookView xWindow="-110" yWindow="-110" windowWidth="19420" windowHeight="11020" xr2:uid="{76F834DE-5EFC-4D6B-9741-493A547AC4EA}"/>
  </bookViews>
  <sheets>
    <sheet name="result" sheetId="1" r:id="rId1"/>
  </sheets>
  <definedNames>
    <definedName name="_xlnm._FilterDatabase" localSheetId="0" hidden="1">result!$A$1:$W$26</definedName>
    <definedName name="UI変更_分類">#REF!</definedName>
    <definedName name="原因_コードの差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D8" i="1"/>
  <c r="H9" i="1"/>
  <c r="D9" i="1"/>
  <c r="H17" i="1"/>
  <c r="D17" i="1"/>
  <c r="D15" i="1"/>
  <c r="H15" i="1"/>
  <c r="D16" i="1"/>
  <c r="H16" i="1"/>
  <c r="D14" i="1"/>
  <c r="H14" i="1"/>
  <c r="D13" i="1"/>
  <c r="H13" i="1"/>
  <c r="D12" i="1"/>
  <c r="H12" i="1"/>
  <c r="D11" i="1"/>
  <c r="D10" i="1" l="1"/>
  <c r="H10" i="1"/>
  <c r="H11" i="1"/>
  <c r="D7" i="1"/>
  <c r="H7" i="1"/>
  <c r="D5" i="1"/>
  <c r="H5" i="1"/>
  <c r="D6" i="1"/>
  <c r="H6" i="1"/>
  <c r="D3" i="1"/>
  <c r="H3" i="1"/>
  <c r="H2" i="1" l="1"/>
  <c r="H4" i="1"/>
  <c r="D2" i="1"/>
  <c r="D4" i="1"/>
</calcChain>
</file>

<file path=xl/sharedStrings.xml><?xml version="1.0" encoding="utf-8"?>
<sst xmlns="http://schemas.openxmlformats.org/spreadsheetml/2006/main" count="145" uniqueCount="68">
  <si>
    <t>test_name</t>
    <phoneticPr fontId="1"/>
  </si>
  <si>
    <t>effort</t>
    <phoneticPr fontId="1"/>
  </si>
  <si>
    <t>sequence_number</t>
    <phoneticPr fontId="1"/>
  </si>
  <si>
    <t>absolute_change_effort</t>
    <phoneticPr fontId="1"/>
  </si>
  <si>
    <t>before_change</t>
    <phoneticPr fontId="1"/>
  </si>
  <si>
    <t>after_change</t>
    <phoneticPr fontId="1"/>
  </si>
  <si>
    <t xml:space="preserve">lines_added </t>
    <phoneticPr fontId="1"/>
  </si>
  <si>
    <t>lines_deleted</t>
    <phoneticPr fontId="1"/>
  </si>
  <si>
    <t>effort_change_direction</t>
    <phoneticPr fontId="1"/>
  </si>
  <si>
    <t>target_ui_element</t>
    <phoneticPr fontId="1"/>
  </si>
  <si>
    <t>specific_change(target)_1</t>
    <phoneticPr fontId="1"/>
  </si>
  <si>
    <t>specific_change(target)_2</t>
    <phoneticPr fontId="1"/>
  </si>
  <si>
    <t>code-changed_ui_element1</t>
    <phoneticPr fontId="1"/>
  </si>
  <si>
    <t>specific_change(code-changed1)_1</t>
    <phoneticPr fontId="1"/>
  </si>
  <si>
    <t>specific_change(code-changed1)_2</t>
    <phoneticPr fontId="1"/>
  </si>
  <si>
    <t>code-changed_ui_element2</t>
    <phoneticPr fontId="1"/>
  </si>
  <si>
    <t>specific_change(code-changed2)_1</t>
    <phoneticPr fontId="1"/>
  </si>
  <si>
    <t>specific_change(code-changed2)_2</t>
    <phoneticPr fontId="1"/>
  </si>
  <si>
    <t>is_in_scope</t>
    <phoneticPr fontId="1"/>
  </si>
  <si>
    <t>cursor_travel_distance</t>
    <phoneticPr fontId="1"/>
  </si>
  <si>
    <t>click_count</t>
    <phoneticPr fontId="1"/>
  </si>
  <si>
    <t>decreased</t>
    <phoneticPr fontId="1"/>
  </si>
  <si>
    <t>increased</t>
    <phoneticPr fontId="1"/>
  </si>
  <si>
    <t>Upward Shift</t>
    <phoneticPr fontId="1"/>
  </si>
  <si>
    <t>Downward Shift</t>
    <phoneticPr fontId="1"/>
  </si>
  <si>
    <t>Rightward Shift</t>
    <phoneticPr fontId="1"/>
  </si>
  <si>
    <t>only_indirect</t>
    <phoneticPr fontId="1"/>
  </si>
  <si>
    <t>-</t>
    <phoneticPr fontId="1"/>
  </si>
  <si>
    <t>changed_lines</t>
    <phoneticPr fontId="1"/>
  </si>
  <si>
    <t>Monitor Form | failing condition</t>
  </si>
  <si>
    <t>5624-5625</t>
    <phoneticPr fontId="1"/>
  </si>
  <si>
    <t>add-condition</t>
    <phoneticPr fontId="1"/>
  </si>
  <si>
    <t>scroll_distance</t>
    <phoneticPr fontId="1"/>
  </si>
  <si>
    <t>keystroke_count</t>
  </si>
  <si>
    <t>6206-6207</t>
    <phoneticPr fontId="1"/>
  </si>
  <si>
    <t>hostname</t>
    <phoneticPr fontId="1"/>
  </si>
  <si>
    <t>6716-6717</t>
    <phoneticPr fontId="1"/>
  </si>
  <si>
    <t>save</t>
    <phoneticPr fontId="1"/>
  </si>
  <si>
    <t>Leftward Shift</t>
    <phoneticPr fontId="1"/>
  </si>
  <si>
    <t>Monitor Form | condition ui</t>
  </si>
  <si>
    <t>add-group</t>
    <phoneticPr fontId="1"/>
  </si>
  <si>
    <t>Uptime Kuma Setup | logout</t>
  </si>
  <si>
    <t>6740-6741</t>
    <phoneticPr fontId="1"/>
  </si>
  <si>
    <t>6744-6745</t>
    <phoneticPr fontId="1"/>
  </si>
  <si>
    <t>A</t>
    <phoneticPr fontId="1"/>
  </si>
  <si>
    <t>Domain Expiry Notification | manual uncheck preserved when URL changes within same TLD</t>
  </si>
  <si>
    <t>6883-6884</t>
    <phoneticPr fontId="1"/>
  </si>
  <si>
    <t>checkbox</t>
    <phoneticPr fontId="1"/>
  </si>
  <si>
    <t>remove-condition-group</t>
    <phoneticPr fontId="1"/>
  </si>
  <si>
    <t>Monitor Form | condition ui</t>
    <phoneticPr fontId="1"/>
  </si>
  <si>
    <t>conditions</t>
    <phoneticPr fontId="1"/>
  </si>
  <si>
    <t>and</t>
    <phoneticPr fontId="1"/>
  </si>
  <si>
    <t>Friendly Name Tests | custom friendly name</t>
    <phoneticPr fontId="1"/>
  </si>
  <si>
    <t>Add New Monitor</t>
    <phoneticPr fontId="1"/>
  </si>
  <si>
    <t>Friendly Name Tests | default friendly name</t>
    <phoneticPr fontId="1"/>
  </si>
  <si>
    <t>Friendly Name Tests | hostname</t>
    <phoneticPr fontId="1"/>
  </si>
  <si>
    <t>Friendly Name Tests | URL hostname</t>
    <phoneticPr fontId="1"/>
  </si>
  <si>
    <t>Width Contraction</t>
    <phoneticPr fontId="1"/>
  </si>
  <si>
    <t>header</t>
    <phoneticPr fontId="1"/>
  </si>
  <si>
    <t>Uptime Kuma Setup | logout</t>
    <phoneticPr fontId="1"/>
  </si>
  <si>
    <t>Width Expansion</t>
    <phoneticPr fontId="1"/>
  </si>
  <si>
    <t>Width Expansion</t>
    <phoneticPr fontId="1"/>
  </si>
  <si>
    <t>Component Removal</t>
    <phoneticPr fontId="1"/>
  </si>
  <si>
    <t xml:space="preserve">exepted tests(flaky): </t>
    <phoneticPr fontId="1"/>
  </si>
  <si>
    <t>Monitor Form | successful condition</t>
  </si>
  <si>
    <t>save (2)</t>
    <phoneticPr fontId="1"/>
  </si>
  <si>
    <t>save (1)</t>
    <phoneticPr fontId="1"/>
  </si>
  <si>
    <t>Height Contraction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</si>
</sst>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7">
    <dxf>
      <numFmt numFmtId="0" formatCode="General"/>
    </dxf>
    <dxf>
      <numFmt numFmtId="0" formatCode="General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1B4224-242C-40E9-96BB-36BC16D8443B}" name="分析結果" displayName="分析結果" ref="A1:U17" totalsRowShown="0" headerRowDxfId="6" headerRowBorderDxfId="5" tableBorderDxfId="4">
  <autoFilter ref="A1:U17" xr:uid="{B61B4224-242C-40E9-96BB-36BC16D8443B}"/>
  <tableColumns count="21">
    <tableColumn id="1" xr3:uid="{5C7DFBEE-0D79-4A94-BFD4-E8F1FB47AC2F}" name="test_name" dataDxfId="3"/>
    <tableColumn id="2" xr3:uid="{30D127E9-6770-460C-AFEA-9A821352C371}" name="effort" dataDxfId="2"/>
    <tableColumn id="3" xr3:uid="{115F9ED8-8869-42CD-9282-82B281C22540}" name="sequence_number"/>
    <tableColumn id="4" xr3:uid="{BD43728E-7EA1-464D-8FEF-4DBB03D04C8A}" name="changed_lines" dataDxfId="1">
      <calculatedColumnFormula>E2+F2</calculatedColumnFormula>
    </tableColumn>
    <tableColumn id="5" xr3:uid="{A4005904-B5AE-4A4D-A2FE-AE78D8BCE01E}" name="lines_added "/>
    <tableColumn id="6" xr3:uid="{6A6BD4BC-2865-48C0-8F1F-39002354AC13}" name="lines_deleted"/>
    <tableColumn id="7" xr3:uid="{EBD16916-7B58-46C6-8AC1-A6106F6343BB}" name="effort_change_direction"/>
    <tableColumn id="18" xr3:uid="{EC91C8E7-F805-4A4F-A700-0AFB50617DF4}" name="absolute_change_effort" dataDxfId="0">
      <calculatedColumnFormula>ABS(分析結果[[#This Row],[after_change]]-分析結果[[#This Row],[before_change]])</calculatedColumnFormula>
    </tableColumn>
    <tableColumn id="20" xr3:uid="{486D4F94-B072-4C90-8276-9D80FE2B2ABE}" name="before_change"/>
    <tableColumn id="19" xr3:uid="{9BC56FE6-0983-4A4F-A87E-81805A51DA6E}" name="after_change"/>
    <tableColumn id="8" xr3:uid="{8445506B-97A6-4F13-91D5-64772AF15E1B}" name="target_ui_element"/>
    <tableColumn id="21" xr3:uid="{E887245E-25FF-428E-983A-225D186533D2}" name="is_in_scope"/>
    <tableColumn id="10" xr3:uid="{4418BD0C-9D21-440D-B641-BBD0A1943F81}" name="specific_change(target)_1"/>
    <tableColumn id="22" xr3:uid="{DE8F86ED-7027-4A4B-A889-D701174E8B23}" name="specific_change(target)_2"/>
    <tableColumn id="24" xr3:uid="{080039C7-E3E1-4D52-851A-CA63E6077878}" name="code-changed_ui_element1"/>
    <tableColumn id="14" xr3:uid="{5CBD5904-21FF-484D-9771-EB770B6F05FF}" name="specific_change(code-changed1)_1"/>
    <tableColumn id="16" xr3:uid="{DEB22465-3A0F-4A03-80FF-24BCE6B20130}" name="specific_change(code-changed1)_2"/>
    <tableColumn id="29" xr3:uid="{12B93E7A-829D-424F-9C9C-8C12DFDFA0A8}" name="code-changed_ui_element2"/>
    <tableColumn id="27" xr3:uid="{0B603B50-9BFF-4088-9B1A-6A5CC07BF516}" name="specific_change(code-changed2)_1"/>
    <tableColumn id="25" xr3:uid="{DCE311CB-C107-499E-8CC0-A12C8BE27E45}" name="specific_change(code-changed2)_2"/>
    <tableColumn id="9" xr3:uid="{ACF736CB-0076-4A1B-9255-F24A1E8EB492}" name="only_indire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9754-040A-4551-8F70-BC62970F44A3}">
  <dimension ref="A1:U21"/>
  <sheetViews>
    <sheetView tabSelected="1" zoomScale="54" zoomScaleNormal="40" workbookViewId="0">
      <selection activeCell="P14" sqref="P14"/>
    </sheetView>
  </sheetViews>
  <sheetFormatPr defaultRowHeight="18" x14ac:dyDescent="0.55000000000000004"/>
  <cols>
    <col min="1" max="1" width="80.4140625" customWidth="1"/>
    <col min="2" max="2" width="22.9140625" customWidth="1"/>
    <col min="3" max="3" width="21.33203125" customWidth="1"/>
    <col min="4" max="4" width="12.6640625" customWidth="1"/>
    <col min="5" max="5" width="15.4140625" customWidth="1"/>
    <col min="6" max="6" width="19" customWidth="1"/>
    <col min="7" max="7" width="24.58203125" customWidth="1"/>
    <col min="8" max="8" width="23.4140625" customWidth="1"/>
    <col min="9" max="10" width="24.4140625" customWidth="1"/>
    <col min="11" max="11" width="23" customWidth="1"/>
    <col min="12" max="12" width="15.6640625" customWidth="1"/>
    <col min="13" max="13" width="27.08203125" customWidth="1"/>
    <col min="14" max="14" width="28.75" customWidth="1"/>
    <col min="15" max="15" width="29" customWidth="1"/>
    <col min="16" max="16" width="35.9140625" customWidth="1"/>
    <col min="17" max="17" width="35.5" customWidth="1"/>
    <col min="18" max="18" width="28.6640625" customWidth="1"/>
    <col min="19" max="19" width="35.25" customWidth="1"/>
    <col min="20" max="20" width="37" customWidth="1"/>
    <col min="21" max="22" width="24.6640625" customWidth="1"/>
    <col min="23" max="23" width="97.33203125" customWidth="1"/>
    <col min="24" max="24" width="34.83203125" customWidth="1"/>
    <col min="25" max="25" width="85.1640625" customWidth="1"/>
  </cols>
  <sheetData>
    <row r="1" spans="1:21" x14ac:dyDescent="0.55000000000000004">
      <c r="A1" s="2" t="s">
        <v>0</v>
      </c>
      <c r="B1" s="2" t="s">
        <v>1</v>
      </c>
      <c r="C1" s="2" t="s">
        <v>2</v>
      </c>
      <c r="D1" s="2" t="s">
        <v>28</v>
      </c>
      <c r="E1" s="2" t="s">
        <v>6</v>
      </c>
      <c r="F1" s="2" t="s">
        <v>7</v>
      </c>
      <c r="G1" s="2" t="s">
        <v>8</v>
      </c>
      <c r="H1" s="2" t="s">
        <v>3</v>
      </c>
      <c r="I1" s="2" t="s">
        <v>4</v>
      </c>
      <c r="J1" s="2" t="s">
        <v>5</v>
      </c>
      <c r="K1" s="2" t="s">
        <v>9</v>
      </c>
      <c r="L1" s="2" t="s">
        <v>18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26</v>
      </c>
    </row>
    <row r="2" spans="1:21" x14ac:dyDescent="0.55000000000000004">
      <c r="A2" t="s">
        <v>29</v>
      </c>
      <c r="B2" s="1" t="s">
        <v>20</v>
      </c>
      <c r="C2" t="s">
        <v>30</v>
      </c>
      <c r="D2">
        <f t="shared" ref="D2:D4" si="0">E2+F2</f>
        <v>695</v>
      </c>
      <c r="E2">
        <v>603</v>
      </c>
      <c r="F2">
        <v>92</v>
      </c>
      <c r="G2" t="s">
        <v>22</v>
      </c>
      <c r="H2">
        <f>ABS(分析結果[[#This Row],[after_change]]-分析結果[[#This Row],[before_change]])</f>
        <v>1</v>
      </c>
      <c r="I2">
        <v>5</v>
      </c>
      <c r="J2">
        <v>6</v>
      </c>
      <c r="K2" t="s">
        <v>31</v>
      </c>
      <c r="L2">
        <v>0</v>
      </c>
      <c r="U2" t="s">
        <v>27</v>
      </c>
    </row>
    <row r="3" spans="1:21" x14ac:dyDescent="0.55000000000000004">
      <c r="A3" t="s">
        <v>29</v>
      </c>
      <c r="B3" s="1" t="s">
        <v>33</v>
      </c>
      <c r="C3" t="s">
        <v>34</v>
      </c>
      <c r="D3">
        <f>E3+F3</f>
        <v>249</v>
      </c>
      <c r="E3">
        <v>48</v>
      </c>
      <c r="F3">
        <v>201</v>
      </c>
      <c r="G3" t="s">
        <v>21</v>
      </c>
      <c r="H3">
        <f>ABS(分析結果[[#This Row],[after_change]]-分析結果[[#This Row],[before_change]])</f>
        <v>3</v>
      </c>
      <c r="I3">
        <v>56</v>
      </c>
      <c r="J3">
        <v>53</v>
      </c>
      <c r="K3" t="s">
        <v>35</v>
      </c>
      <c r="L3">
        <v>0</v>
      </c>
      <c r="U3" t="s">
        <v>27</v>
      </c>
    </row>
    <row r="4" spans="1:21" x14ac:dyDescent="0.55000000000000004">
      <c r="A4" t="s">
        <v>52</v>
      </c>
      <c r="B4" t="s">
        <v>19</v>
      </c>
      <c r="C4" t="s">
        <v>36</v>
      </c>
      <c r="D4">
        <f t="shared" si="0"/>
        <v>16</v>
      </c>
      <c r="E4">
        <v>10</v>
      </c>
      <c r="F4">
        <v>6</v>
      </c>
      <c r="G4" t="s">
        <v>22</v>
      </c>
      <c r="H4">
        <f>ABS(分析結果[[#This Row],[after_change]]-分析結果[[#This Row],[before_change]])</f>
        <v>5.2010530065199418</v>
      </c>
      <c r="I4">
        <v>1195.4214469435301</v>
      </c>
      <c r="J4">
        <v>1200.62249995005</v>
      </c>
      <c r="K4" t="s">
        <v>66</v>
      </c>
      <c r="L4">
        <v>1</v>
      </c>
      <c r="M4" t="s">
        <v>38</v>
      </c>
      <c r="O4" t="s">
        <v>53</v>
      </c>
      <c r="P4" t="s">
        <v>61</v>
      </c>
      <c r="U4">
        <v>0</v>
      </c>
    </row>
    <row r="5" spans="1:21" x14ac:dyDescent="0.55000000000000004">
      <c r="A5" t="s">
        <v>54</v>
      </c>
      <c r="B5" t="s">
        <v>19</v>
      </c>
      <c r="C5" t="s">
        <v>36</v>
      </c>
      <c r="D5">
        <f t="shared" ref="D5:D17" si="1">E5+F5</f>
        <v>16</v>
      </c>
      <c r="E5">
        <v>10</v>
      </c>
      <c r="F5">
        <v>6</v>
      </c>
      <c r="G5" t="s">
        <v>22</v>
      </c>
      <c r="H5">
        <f>ABS(分析結果[[#This Row],[after_change]]-分析結果[[#This Row],[before_change]])</f>
        <v>5.2010530065199418</v>
      </c>
      <c r="I5">
        <v>1195.4214469435301</v>
      </c>
      <c r="J5">
        <v>1200.62249995005</v>
      </c>
      <c r="K5" t="s">
        <v>65</v>
      </c>
      <c r="L5">
        <v>1</v>
      </c>
      <c r="M5" t="s">
        <v>38</v>
      </c>
      <c r="O5" t="s">
        <v>53</v>
      </c>
      <c r="P5" t="s">
        <v>61</v>
      </c>
      <c r="U5">
        <v>0</v>
      </c>
    </row>
    <row r="6" spans="1:21" x14ac:dyDescent="0.55000000000000004">
      <c r="A6" t="s">
        <v>55</v>
      </c>
      <c r="B6" t="s">
        <v>19</v>
      </c>
      <c r="C6" t="s">
        <v>36</v>
      </c>
      <c r="D6">
        <f t="shared" si="1"/>
        <v>16</v>
      </c>
      <c r="E6">
        <v>10</v>
      </c>
      <c r="F6">
        <v>6</v>
      </c>
      <c r="G6" t="s">
        <v>22</v>
      </c>
      <c r="H6">
        <f>ABS(分析結果[[#This Row],[after_change]]-分析結果[[#This Row],[before_change]])</f>
        <v>5.2010530065199418</v>
      </c>
      <c r="I6">
        <v>1195.4214469435301</v>
      </c>
      <c r="J6">
        <v>1200.62249995005</v>
      </c>
      <c r="K6" t="s">
        <v>37</v>
      </c>
      <c r="L6">
        <v>1</v>
      </c>
      <c r="M6" t="s">
        <v>38</v>
      </c>
      <c r="O6" t="s">
        <v>53</v>
      </c>
      <c r="P6" t="s">
        <v>61</v>
      </c>
      <c r="U6">
        <v>0</v>
      </c>
    </row>
    <row r="7" spans="1:21" x14ac:dyDescent="0.55000000000000004">
      <c r="A7" t="s">
        <v>56</v>
      </c>
      <c r="B7" t="s">
        <v>19</v>
      </c>
      <c r="C7" t="s">
        <v>36</v>
      </c>
      <c r="D7">
        <f t="shared" si="1"/>
        <v>17</v>
      </c>
      <c r="E7">
        <v>10</v>
      </c>
      <c r="F7">
        <v>7</v>
      </c>
      <c r="G7" t="s">
        <v>22</v>
      </c>
      <c r="H7">
        <f>ABS(分析結果[[#This Row],[after_change]]-分析結果[[#This Row],[before_change]])</f>
        <v>5.2010530065199418</v>
      </c>
      <c r="I7">
        <v>1195.4214469435301</v>
      </c>
      <c r="J7">
        <v>1200.62249995005</v>
      </c>
      <c r="K7" t="s">
        <v>37</v>
      </c>
      <c r="L7">
        <v>1</v>
      </c>
      <c r="M7" t="s">
        <v>38</v>
      </c>
      <c r="O7" t="s">
        <v>53</v>
      </c>
      <c r="P7" t="s">
        <v>61</v>
      </c>
      <c r="U7">
        <v>0</v>
      </c>
    </row>
    <row r="8" spans="1:21" x14ac:dyDescent="0.55000000000000004">
      <c r="A8" t="s">
        <v>49</v>
      </c>
      <c r="B8" t="s">
        <v>19</v>
      </c>
      <c r="C8" t="s">
        <v>30</v>
      </c>
      <c r="D8">
        <f t="shared" si="1"/>
        <v>695</v>
      </c>
      <c r="E8">
        <v>603</v>
      </c>
      <c r="F8">
        <v>92</v>
      </c>
      <c r="G8" t="s">
        <v>21</v>
      </c>
      <c r="H8">
        <f>ABS(分析結果[[#This Row],[after_change]]-分析結果[[#This Row],[before_change]])</f>
        <v>129.22193373638015</v>
      </c>
      <c r="I8">
        <v>1777.9417361292101</v>
      </c>
      <c r="J8">
        <v>1648.7198023928299</v>
      </c>
      <c r="K8" t="s">
        <v>40</v>
      </c>
      <c r="L8">
        <v>1</v>
      </c>
      <c r="M8" t="s">
        <v>23</v>
      </c>
      <c r="O8" t="s">
        <v>50</v>
      </c>
      <c r="P8" t="s">
        <v>67</v>
      </c>
      <c r="U8">
        <v>1</v>
      </c>
    </row>
    <row r="9" spans="1:21" x14ac:dyDescent="0.55000000000000004">
      <c r="A9" t="s">
        <v>39</v>
      </c>
      <c r="B9" t="s">
        <v>19</v>
      </c>
      <c r="C9" t="s">
        <v>30</v>
      </c>
      <c r="D9">
        <f t="shared" si="1"/>
        <v>695</v>
      </c>
      <c r="E9">
        <v>603</v>
      </c>
      <c r="F9">
        <v>92</v>
      </c>
      <c r="G9" t="s">
        <v>21</v>
      </c>
      <c r="H9">
        <f>ABS(分析結果[[#This Row],[after_change]]-分析結果[[#This Row],[before_change]])</f>
        <v>129.22193373638015</v>
      </c>
      <c r="I9">
        <v>1777.9417361292101</v>
      </c>
      <c r="J9">
        <v>1648.7198023928299</v>
      </c>
      <c r="K9" t="s">
        <v>48</v>
      </c>
      <c r="L9">
        <v>1</v>
      </c>
      <c r="M9" t="s">
        <v>23</v>
      </c>
      <c r="O9" t="s">
        <v>50</v>
      </c>
      <c r="P9" t="s">
        <v>67</v>
      </c>
      <c r="R9" t="s">
        <v>51</v>
      </c>
      <c r="S9" t="s">
        <v>62</v>
      </c>
      <c r="U9">
        <v>1</v>
      </c>
    </row>
    <row r="10" spans="1:21" x14ac:dyDescent="0.55000000000000004">
      <c r="A10" t="s">
        <v>49</v>
      </c>
      <c r="B10" t="s">
        <v>19</v>
      </c>
      <c r="C10" t="s">
        <v>36</v>
      </c>
      <c r="D10">
        <f t="shared" si="1"/>
        <v>16</v>
      </c>
      <c r="E10">
        <v>10</v>
      </c>
      <c r="F10">
        <v>6</v>
      </c>
      <c r="G10" t="s">
        <v>22</v>
      </c>
      <c r="H10">
        <f>ABS(分析結果[[#This Row],[after_change]]-分析結果[[#This Row],[before_change]])</f>
        <v>5.334134635970031</v>
      </c>
      <c r="I10">
        <v>1648.7198023928299</v>
      </c>
      <c r="J10">
        <v>1654.0539370288</v>
      </c>
      <c r="K10" t="s">
        <v>31</v>
      </c>
      <c r="L10">
        <v>1</v>
      </c>
      <c r="M10" t="s">
        <v>60</v>
      </c>
      <c r="O10" t="s">
        <v>53</v>
      </c>
      <c r="P10" t="s">
        <v>61</v>
      </c>
      <c r="U10">
        <v>0</v>
      </c>
    </row>
    <row r="11" spans="1:21" x14ac:dyDescent="0.55000000000000004">
      <c r="A11" t="s">
        <v>39</v>
      </c>
      <c r="B11" t="s">
        <v>19</v>
      </c>
      <c r="C11" t="s">
        <v>36</v>
      </c>
      <c r="D11">
        <f t="shared" si="1"/>
        <v>16</v>
      </c>
      <c r="E11">
        <v>10</v>
      </c>
      <c r="F11">
        <v>6</v>
      </c>
      <c r="G11" t="s">
        <v>22</v>
      </c>
      <c r="H11">
        <f>ABS(分析結果[[#This Row],[after_change]]-分析結果[[#This Row],[before_change]])</f>
        <v>5.334134635970031</v>
      </c>
      <c r="I11">
        <v>1648.7198023928299</v>
      </c>
      <c r="J11">
        <v>1654.0539370288</v>
      </c>
      <c r="K11" t="s">
        <v>40</v>
      </c>
      <c r="L11">
        <v>1</v>
      </c>
      <c r="M11" t="s">
        <v>60</v>
      </c>
      <c r="O11" t="s">
        <v>53</v>
      </c>
      <c r="P11" t="s">
        <v>61</v>
      </c>
      <c r="U11">
        <v>0</v>
      </c>
    </row>
    <row r="12" spans="1:21" x14ac:dyDescent="0.55000000000000004">
      <c r="A12" t="s">
        <v>29</v>
      </c>
      <c r="B12" t="s">
        <v>19</v>
      </c>
      <c r="C12" t="s">
        <v>30</v>
      </c>
      <c r="D12">
        <f t="shared" si="1"/>
        <v>695</v>
      </c>
      <c r="E12">
        <v>603</v>
      </c>
      <c r="F12">
        <v>92</v>
      </c>
      <c r="G12" t="s">
        <v>22</v>
      </c>
      <c r="H12">
        <f>ABS(分析結果[[#This Row],[after_change]]-分析結果[[#This Row],[before_change]])</f>
        <v>21.128513457619874</v>
      </c>
      <c r="I12">
        <v>1403.43663488686</v>
      </c>
      <c r="J12">
        <v>1424.5651483444799</v>
      </c>
      <c r="K12" t="s">
        <v>31</v>
      </c>
      <c r="L12">
        <v>0</v>
      </c>
      <c r="U12" t="s">
        <v>27</v>
      </c>
    </row>
    <row r="13" spans="1:21" x14ac:dyDescent="0.55000000000000004">
      <c r="A13" t="s">
        <v>41</v>
      </c>
      <c r="B13" t="s">
        <v>19</v>
      </c>
      <c r="C13" t="s">
        <v>42</v>
      </c>
      <c r="D13">
        <f t="shared" si="1"/>
        <v>13</v>
      </c>
      <c r="E13">
        <v>6</v>
      </c>
      <c r="F13">
        <v>7</v>
      </c>
      <c r="G13" t="s">
        <v>21</v>
      </c>
      <c r="H13">
        <f>ABS(分析結果[[#This Row],[after_change]]-分析結果[[#This Row],[before_change]])</f>
        <v>8.6110235968399138</v>
      </c>
      <c r="I13">
        <v>1506.6036697101499</v>
      </c>
      <c r="J13">
        <v>1497.99264611331</v>
      </c>
      <c r="K13" t="s">
        <v>44</v>
      </c>
      <c r="L13">
        <v>1</v>
      </c>
      <c r="M13" t="s">
        <v>38</v>
      </c>
      <c r="O13" t="s">
        <v>58</v>
      </c>
      <c r="P13" t="s">
        <v>57</v>
      </c>
      <c r="U13">
        <v>0</v>
      </c>
    </row>
    <row r="14" spans="1:21" x14ac:dyDescent="0.55000000000000004">
      <c r="A14" t="s">
        <v>59</v>
      </c>
      <c r="B14" t="s">
        <v>19</v>
      </c>
      <c r="C14" t="s">
        <v>43</v>
      </c>
      <c r="D14">
        <f t="shared" si="1"/>
        <v>414</v>
      </c>
      <c r="E14">
        <v>236</v>
      </c>
      <c r="F14">
        <v>178</v>
      </c>
      <c r="G14" t="s">
        <v>22</v>
      </c>
      <c r="H14">
        <f>ABS(分析結果[[#This Row],[after_change]]-分析結果[[#This Row],[before_change]])</f>
        <v>8.6110235968399138</v>
      </c>
      <c r="I14">
        <v>1497.99264611331</v>
      </c>
      <c r="J14">
        <v>1506.6036697101499</v>
      </c>
      <c r="K14" t="s">
        <v>44</v>
      </c>
      <c r="L14">
        <v>1</v>
      </c>
      <c r="M14" t="s">
        <v>25</v>
      </c>
      <c r="O14" t="s">
        <v>58</v>
      </c>
      <c r="P14" t="s">
        <v>60</v>
      </c>
      <c r="U14">
        <v>0</v>
      </c>
    </row>
    <row r="15" spans="1:21" x14ac:dyDescent="0.55000000000000004">
      <c r="A15" t="s">
        <v>45</v>
      </c>
      <c r="B15" t="s">
        <v>32</v>
      </c>
      <c r="C15" t="s">
        <v>46</v>
      </c>
      <c r="D15">
        <f t="shared" si="1"/>
        <v>9</v>
      </c>
      <c r="E15">
        <v>8</v>
      </c>
      <c r="F15">
        <v>1</v>
      </c>
      <c r="G15" t="s">
        <v>22</v>
      </c>
      <c r="H15">
        <f>ABS(分析結果[[#This Row],[after_change]]-分析結果[[#This Row],[before_change]])</f>
        <v>46</v>
      </c>
      <c r="I15">
        <v>678</v>
      </c>
      <c r="J15">
        <v>724</v>
      </c>
      <c r="K15" t="s">
        <v>47</v>
      </c>
      <c r="L15">
        <v>1</v>
      </c>
      <c r="M15" t="s">
        <v>24</v>
      </c>
      <c r="U15" t="s">
        <v>27</v>
      </c>
    </row>
    <row r="16" spans="1:21" x14ac:dyDescent="0.55000000000000004">
      <c r="A16" t="s">
        <v>39</v>
      </c>
      <c r="B16" t="s">
        <v>32</v>
      </c>
      <c r="C16" t="s">
        <v>30</v>
      </c>
      <c r="D16">
        <f t="shared" si="1"/>
        <v>695</v>
      </c>
      <c r="E16">
        <v>603</v>
      </c>
      <c r="F16">
        <v>92</v>
      </c>
      <c r="G16" t="s">
        <v>21</v>
      </c>
      <c r="H16">
        <f>ABS(分析結果[[#This Row],[after_change]]-分析結果[[#This Row],[before_change]])</f>
        <v>502</v>
      </c>
      <c r="I16">
        <v>1038</v>
      </c>
      <c r="J16">
        <v>536</v>
      </c>
      <c r="K16" t="s">
        <v>31</v>
      </c>
      <c r="L16">
        <v>1</v>
      </c>
      <c r="M16" t="s">
        <v>23</v>
      </c>
      <c r="U16" t="s">
        <v>27</v>
      </c>
    </row>
    <row r="17" spans="1:21" x14ac:dyDescent="0.55000000000000004">
      <c r="A17" t="s">
        <v>39</v>
      </c>
      <c r="B17" t="s">
        <v>32</v>
      </c>
      <c r="C17" t="s">
        <v>30</v>
      </c>
      <c r="D17">
        <f t="shared" si="1"/>
        <v>695</v>
      </c>
      <c r="E17">
        <v>603</v>
      </c>
      <c r="F17">
        <v>92</v>
      </c>
      <c r="G17" t="s">
        <v>21</v>
      </c>
      <c r="H17">
        <f>ABS(分析結果[[#This Row],[after_change]]-分析結果[[#This Row],[before_change]])</f>
        <v>502</v>
      </c>
      <c r="I17">
        <v>1038</v>
      </c>
      <c r="J17">
        <v>536</v>
      </c>
      <c r="K17" t="s">
        <v>48</v>
      </c>
      <c r="L17">
        <v>1</v>
      </c>
      <c r="M17" t="s">
        <v>23</v>
      </c>
      <c r="U17" t="s">
        <v>27</v>
      </c>
    </row>
    <row r="18" spans="1:21" x14ac:dyDescent="0.55000000000000004">
      <c r="B18" s="1"/>
    </row>
    <row r="19" spans="1:21" x14ac:dyDescent="0.55000000000000004">
      <c r="A19" t="s">
        <v>63</v>
      </c>
    </row>
    <row r="20" spans="1:21" x14ac:dyDescent="0.55000000000000004">
      <c r="A20" t="s">
        <v>64</v>
      </c>
    </row>
    <row r="21" spans="1:21" x14ac:dyDescent="0.55000000000000004">
      <c r="A21" t="s">
        <v>29</v>
      </c>
    </row>
  </sheetData>
  <sheetProtection sort="0" autoFilter="0" pivotTables="0"/>
  <sortState xmlns:xlrd2="http://schemas.microsoft.com/office/spreadsheetml/2017/richdata2" ref="A2:T17">
    <sortCondition ref="B3:B17"/>
  </sortState>
  <phoneticPr fontId="1"/>
  <dataValidations count="4">
    <dataValidation type="list" allowBlank="1" showInputMessage="1" showErrorMessage="1" sqref="R18:R1048576 U18:U1048576 V19:V1048576 T2:T1048576 Q2:Q1048576" xr:uid="{0D11C3FA-C120-49A7-8E21-69F0B3130609}">
      <formula1>#REF!</formula1>
    </dataValidation>
    <dataValidation type="decimal" operator="greaterThan" allowBlank="1" showInputMessage="1" showErrorMessage="1" sqref="I2:J1048576" xr:uid="{882D5D14-C8AC-41EE-B33D-A233CE713A0D}">
      <formula1>0</formula1>
    </dataValidation>
    <dataValidation operator="greaterThan" allowBlank="1" showInputMessage="1" showErrorMessage="1" sqref="H1:H1048576" xr:uid="{9C2A9A4B-9AD7-4D13-B05F-BA7E7F964F3A}"/>
    <dataValidation type="list" allowBlank="1" showInputMessage="1" showErrorMessage="1" sqref="L2:L1048576" xr:uid="{A55377B6-98FA-4A03-A8D1-933B4B5E134B}">
      <formula1>"0, 1"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牧野　雄希</dc:creator>
  <cp:lastModifiedBy>牧野　雄希</cp:lastModifiedBy>
  <dcterms:created xsi:type="dcterms:W3CDTF">2025-05-23T06:45:42Z</dcterms:created>
  <dcterms:modified xsi:type="dcterms:W3CDTF">2026-09-21T04:44:34Z</dcterms:modified>
</cp:coreProperties>
</file>